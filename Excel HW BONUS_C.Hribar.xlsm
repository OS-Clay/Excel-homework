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lay.hribar/Documents/Data Bootcamp/"/>
    </mc:Choice>
  </mc:AlternateContent>
  <xr:revisionPtr revIDLastSave="0" documentId="13_ncr:1_{702C1A43-8031-7B4E-B954-E9C888163A0C}" xr6:coauthVersionLast="45" xr6:coauthVersionMax="45" xr10:uidLastSave="{00000000-0000-0000-0000-000000000000}"/>
  <bookViews>
    <workbookView xWindow="2860" yWindow="460" windowWidth="23240" windowHeight="14560" activeTab="3" xr2:uid="{00000000-000D-0000-FFFF-FFFF00000000}"/>
  </bookViews>
  <sheets>
    <sheet name="Sheet1" sheetId="1" r:id="rId1"/>
    <sheet name="Sheet3" sheetId="3" r:id="rId2"/>
    <sheet name="Sheet2" sheetId="2" r:id="rId3"/>
    <sheet name="Sheet4" sheetId="4" r:id="rId4"/>
    <sheet name="Sheet5" sheetId="5" r:id="rId5"/>
  </sheets>
  <definedNames>
    <definedName name="_xlnm._FilterDatabase" localSheetId="3" hidden="1">Sheet4!$B$1:$C$4115</definedName>
    <definedName name="_xlnm._FilterDatabase" localSheetId="4" hidden="1">Sheet5!$A$1:$B$4115</definedName>
  </definedNames>
  <calcPr calcId="191029"/>
  <pivotCaches>
    <pivotCache cacheId="3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4" l="1"/>
  <c r="J6" i="4"/>
  <c r="I7" i="4"/>
  <c r="I6" i="4"/>
  <c r="J4" i="4"/>
  <c r="I4" i="4"/>
  <c r="J3" i="4"/>
  <c r="I3" i="4"/>
  <c r="J2" i="4"/>
  <c r="I2" i="4"/>
  <c r="H3" i="2" l="1"/>
  <c r="H4" i="2"/>
  <c r="H5" i="2"/>
  <c r="H6" i="2"/>
  <c r="H7" i="2"/>
  <c r="H8" i="2"/>
  <c r="H9" i="2"/>
  <c r="H10" i="2"/>
  <c r="H11" i="2"/>
  <c r="H12" i="2"/>
  <c r="H13" i="2"/>
  <c r="H2" i="2"/>
  <c r="G3" i="2"/>
  <c r="G4" i="2"/>
  <c r="G5" i="2"/>
  <c r="G6" i="2"/>
  <c r="G7" i="2"/>
  <c r="G8" i="2"/>
  <c r="G9" i="2"/>
  <c r="G10" i="2"/>
  <c r="G11" i="2"/>
  <c r="G12" i="2"/>
  <c r="G13" i="2"/>
  <c r="G2" i="2"/>
  <c r="F3" i="2"/>
  <c r="F4" i="2"/>
  <c r="F5" i="2"/>
  <c r="F6" i="2"/>
  <c r="F7" i="2"/>
  <c r="F8" i="2"/>
  <c r="F9" i="2"/>
  <c r="F10" i="2"/>
  <c r="F11" i="2"/>
  <c r="F12" i="2"/>
  <c r="F13" i="2"/>
  <c r="F2" i="2"/>
  <c r="E3" i="2"/>
  <c r="E4" i="2"/>
  <c r="E5" i="2"/>
  <c r="E6" i="2"/>
  <c r="E7" i="2"/>
  <c r="E8" i="2"/>
  <c r="E9" i="2"/>
  <c r="E10" i="2"/>
  <c r="E11" i="2"/>
  <c r="E12" i="2"/>
  <c r="E13" i="2"/>
  <c r="E2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  <c r="D10" i="2"/>
  <c r="C10" i="2"/>
  <c r="D11" i="2"/>
  <c r="C11" i="2"/>
  <c r="D12" i="2"/>
  <c r="C12" i="2"/>
  <c r="D13" i="2"/>
  <c r="C13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<sst xmlns="http://schemas.openxmlformats.org/spreadsheetml/2006/main" count="34522" uniqueCount="8344">
  <si>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</si>
  <si>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</si>
  <si>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</si>
  <si>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</si>
  <si>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</si>
  <si>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</si>
  <si>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</si>
  <si>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</si>
  <si>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</si>
  <si>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</si>
  <si>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</si>
  <si>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</si>
  <si>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</si>
  <si>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</si>
  <si>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</si>
  <si>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</si>
  <si>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</si>
  <si>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</si>
  <si>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</si>
  <si>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</si>
  <si>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</si>
  <si>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</si>
  <si>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</si>
  <si>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</si>
  <si>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</si>
  <si>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</si>
  <si>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</si>
  <si>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</si>
  <si>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</si>
  <si>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</si>
  <si>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</si>
  <si>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</si>
  <si>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</si>
  <si>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</si>
  <si>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</si>
  <si>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</si>
  <si>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</si>
  <si>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</si>
  <si>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</si>
  <si>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</si>
  <si>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</si>
  <si>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</si>
  <si>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</si>
  <si>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</si>
  <si>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</si>
  <si>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</si>
  <si>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</si>
  <si>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</si>
  <si>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</si>
  <si>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</si>
  <si>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</si>
  <si>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</si>
  <si>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</si>
  <si>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</si>
  <si>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</si>
  <si>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</si>
  <si>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</si>
  <si>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</si>
  <si>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</si>
  <si>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</si>
  <si>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</si>
  <si>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</si>
  <si>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</si>
  <si>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</si>
  <si>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</si>
  <si>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</si>
  <si>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</si>
  <si>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</si>
  <si>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</si>
  <si>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</si>
  <si>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</si>
  <si>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</si>
  <si>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</si>
  <si>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</si>
  <si>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</si>
  <si>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</si>
  <si>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</si>
  <si>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</si>
  <si>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</si>
  <si>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</si>
  <si>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</si>
  <si>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</si>
  <si>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</si>
  <si>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</si>
  <si>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</si>
  <si>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</si>
  <si>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</si>
  <si>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</si>
  <si>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</si>
  <si>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</si>
  <si>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</si>
  <si>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</si>
  <si>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</si>
  <si>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</si>
  <si>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</si>
  <si>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</si>
  <si>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</si>
  <si>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</si>
  <si>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</si>
  <si>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</si>
  <si>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</si>
  <si>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</si>
  <si>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</si>
  <si>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</si>
  <si>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</si>
  <si>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</si>
  <si>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</si>
  <si>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</si>
  <si>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</si>
  <si>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</si>
  <si>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</si>
  <si>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</si>
  <si>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</si>
  <si>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</si>
  <si>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</si>
  <si>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</si>
  <si>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</si>
  <si>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</si>
  <si>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</si>
  <si>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</si>
  <si>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</si>
  <si>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</si>
  <si>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</si>
  <si>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</si>
  <si>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</si>
  <si>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</si>
  <si>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</si>
  <si>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</si>
  <si>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</si>
  <si>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</si>
  <si>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</si>
  <si>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</si>
  <si>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</si>
  <si>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</si>
  <si>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</si>
  <si>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</si>
  <si>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</si>
  <si>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</si>
  <si>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</si>
  <si>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</si>
  <si>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</si>
  <si>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</si>
  <si>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</si>
  <si>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</si>
  <si>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</si>
  <si>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</si>
  <si>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</si>
  <si>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</si>
  <si>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</si>
  <si>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</si>
  <si>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</si>
  <si>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</si>
  <si>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</si>
  <si>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</si>
  <si>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</si>
  <si>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</si>
  <si>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</si>
  <si>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</si>
  <si>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</si>
  <si>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</si>
  <si>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</si>
  <si>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</si>
  <si>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</si>
  <si>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</si>
  <si>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</si>
  <si>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</si>
  <si>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</si>
  <si>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</si>
  <si>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</si>
  <si>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</si>
  <si>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</si>
  <si>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</si>
  <si>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</si>
  <si>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</si>
  <si>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</si>
  <si>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</si>
  <si>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</si>
  <si>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</si>
  <si>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</si>
  <si>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</si>
  <si>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</si>
  <si>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</si>
  <si>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</si>
  <si>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</si>
  <si>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</si>
  <si>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</si>
  <si>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</si>
  <si>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</si>
  <si>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</si>
  <si>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</si>
  <si>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</si>
  <si>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</si>
  <si>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</si>
  <si>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</si>
  <si>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</si>
  <si>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</si>
  <si>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</si>
  <si>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</si>
  <si>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</si>
  <si>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</si>
  <si>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</si>
  <si>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</si>
  <si>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</si>
  <si>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</si>
  <si>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</si>
  <si>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</si>
  <si>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</si>
  <si>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</si>
  <si>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</si>
  <si>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</si>
  <si>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</si>
  <si>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</si>
  <si>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</si>
  <si>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</si>
  <si>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</si>
  <si>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</si>
  <si>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</si>
  <si>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</si>
  <si>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</si>
  <si>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</si>
  <si>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</si>
  <si>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</si>
  <si>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</si>
  <si>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</si>
  <si>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</si>
  <si>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</si>
  <si>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</si>
  <si>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</si>
  <si>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</si>
  <si>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</si>
  <si>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</si>
  <si>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</si>
  <si>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</si>
  <si>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</si>
  <si>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</si>
  <si>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</si>
  <si>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</si>
  <si>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</si>
  <si>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</si>
  <si>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</si>
  <si>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</si>
  <si>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</si>
  <si>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</si>
  <si>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</si>
  <si>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</si>
  <si>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</si>
  <si>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</si>
  <si>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</si>
  <si>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</si>
  <si>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</si>
  <si>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</si>
  <si>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</si>
  <si>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</si>
  <si>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</si>
  <si>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</si>
  <si>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</si>
  <si>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</si>
  <si>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</si>
  <si>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</si>
  <si>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</si>
  <si>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</si>
  <si>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</si>
  <si>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</si>
  <si>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</si>
  <si>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</si>
  <si>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</si>
  <si>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</si>
  <si>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</si>
  <si>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</si>
  <si>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</si>
  <si>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</si>
  <si>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</si>
  <si>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</si>
  <si>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</si>
  <si>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</si>
  <si>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</si>
  <si>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</si>
  <si>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</si>
  <si>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</si>
  <si>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</si>
  <si>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</si>
  <si>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</si>
  <si>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</si>
  <si>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</si>
  <si>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</si>
  <si>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</si>
  <si>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</si>
  <si>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</si>
  <si>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</si>
  <si>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</si>
  <si>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</si>
  <si>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</si>
  <si>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</si>
  <si>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</si>
  <si>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</si>
  <si>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</si>
  <si>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</si>
  <si>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</si>
  <si>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</si>
  <si>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</si>
  <si>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</si>
  <si>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</si>
  <si>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</si>
  <si>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</si>
  <si>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</si>
  <si>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</si>
  <si>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</si>
  <si>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</si>
  <si>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</si>
  <si>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</si>
  <si>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</si>
  <si>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</si>
  <si>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</si>
  <si>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</si>
  <si>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</si>
  <si>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</si>
  <si>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</si>
  <si>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</si>
  <si>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</si>
  <si>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</si>
  <si>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</si>
  <si>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</si>
  <si>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</si>
  <si>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</si>
  <si>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</si>
  <si>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</si>
  <si>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</si>
  <si>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</si>
  <si>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</si>
  <si>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</si>
  <si>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</si>
  <si>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</si>
  <si>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</si>
  <si>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</si>
  <si>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</si>
  <si>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</si>
  <si>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</si>
  <si>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</si>
  <si>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</si>
  <si>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</si>
  <si>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</si>
  <si>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</si>
  <si>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</si>
  <si>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</si>
  <si>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</si>
  <si>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</si>
  <si>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</si>
  <si>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</si>
  <si>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</si>
  <si>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</si>
  <si>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</si>
  <si>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</si>
  <si>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</si>
  <si>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</si>
  <si>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</si>
  <si>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</si>
  <si>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</si>
  <si>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</si>
  <si>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</si>
  <si>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</si>
  <si>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</si>
  <si>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</si>
  <si>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</si>
  <si>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</si>
  <si>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</si>
  <si>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</si>
  <si>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</si>
  <si>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</si>
  <si>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</si>
  <si>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</si>
  <si>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</si>
  <si>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</si>
  <si>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</si>
  <si>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</si>
  <si>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</si>
  <si>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</si>
  <si>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</si>
  <si>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</si>
  <si>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</si>
  <si>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</si>
  <si>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</si>
  <si>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</si>
  <si>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</si>
  <si>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</si>
  <si>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</si>
  <si>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</si>
  <si>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</si>
  <si>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</si>
  <si>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</si>
  <si>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</si>
  <si>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</si>
  <si>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</si>
  <si>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</si>
  <si>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</si>
  <si>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</si>
  <si>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</si>
  <si>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</si>
  <si>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</si>
  <si>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</si>
  <si>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</si>
  <si>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</si>
  <si>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</si>
  <si>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</si>
  <si>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</si>
  <si>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</si>
  <si>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</si>
  <si>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</si>
  <si>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</si>
  <si>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</si>
  <si>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</si>
  <si>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</si>
  <si>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</si>
  <si>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</si>
  <si>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</si>
  <si>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</si>
  <si>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</si>
  <si>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</si>
  <si>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</si>
  <si>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</si>
  <si>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</si>
  <si>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</si>
  <si>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</si>
  <si>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</si>
  <si>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</si>
  <si>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</si>
  <si>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</si>
  <si>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</si>
  <si>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</si>
  <si>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</si>
  <si>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</si>
  <si>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</si>
  <si>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</si>
  <si>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</si>
  <si>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</si>
  <si>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</si>
  <si>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</si>
  <si>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</si>
  <si>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</si>
  <si>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</si>
  <si>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</si>
  <si>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</si>
  <si>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</si>
  <si>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</si>
  <si>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</si>
  <si>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</si>
  <si>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</si>
  <si>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</si>
  <si>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</si>
  <si>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</si>
  <si>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</si>
  <si>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</si>
  <si>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</si>
  <si>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</si>
  <si>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</si>
  <si>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</si>
  <si>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</si>
  <si>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</si>
  <si>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</si>
  <si>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</si>
  <si>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</si>
  <si>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</si>
  <si>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</si>
  <si>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</si>
  <si>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</si>
  <si>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</si>
  <si>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</si>
  <si>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</si>
  <si>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</si>
  <si>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</si>
  <si>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</si>
  <si>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</si>
  <si>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</si>
  <si>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</si>
  <si>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</si>
  <si>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</si>
  <si>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</si>
  <si>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</si>
  <si>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</si>
  <si>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</si>
  <si>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</si>
  <si>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</si>
  <si>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</si>
  <si>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</si>
  <si>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</si>
  <si>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</si>
  <si>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</si>
  <si>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</si>
  <si>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</si>
  <si>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</si>
  <si>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</si>
  <si>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</si>
  <si>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</si>
  <si>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</si>
  <si>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</si>
  <si>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</si>
  <si>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</si>
  <si>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</si>
  <si>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</si>
  <si>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</si>
  <si>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</si>
  <si>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</si>
  <si>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</si>
  <si>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</si>
  <si>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</si>
  <si>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</si>
  <si>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</si>
  <si>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</si>
  <si>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</si>
  <si>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</si>
  <si>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</si>
  <si>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</si>
  <si>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</si>
  <si>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</si>
  <si>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</si>
  <si>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</si>
  <si>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</si>
  <si>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</si>
  <si>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</si>
  <si>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</si>
  <si>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</si>
  <si>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</si>
  <si>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</si>
  <si>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</si>
  <si>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</si>
  <si>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</si>
  <si>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</si>
  <si>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</si>
  <si>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</si>
  <si>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</si>
  <si>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</si>
  <si>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</si>
  <si>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</si>
  <si>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</si>
  <si>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</si>
  <si>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</si>
  <si>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</si>
  <si>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</si>
  <si>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</si>
  <si>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</si>
  <si>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</si>
  <si>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</si>
  <si>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</si>
  <si>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</si>
  <si>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</si>
  <si>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</si>
  <si>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</si>
  <si>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</si>
  <si>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</si>
  <si>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</si>
  <si>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</si>
  <si>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</si>
  <si>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</si>
  <si>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</si>
  <si>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</si>
  <si>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</si>
  <si>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</si>
  <si>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</si>
  <si>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</si>
  <si>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</si>
  <si>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</si>
  <si>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</si>
  <si>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</si>
  <si>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</si>
  <si>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</si>
  <si>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</si>
  <si>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</si>
  <si>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</si>
  <si>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</si>
  <si>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</si>
  <si>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</si>
  <si>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</si>
  <si>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</si>
  <si>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</si>
  <si>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</si>
  <si>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</si>
  <si>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</si>
  <si>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</si>
  <si>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</si>
  <si>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</si>
  <si>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</si>
  <si>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</si>
  <si>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</si>
  <si>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</si>
  <si>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</si>
  <si>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</si>
  <si>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</si>
  <si>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</si>
  <si>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</si>
  <si>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</si>
  <si>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</si>
  <si>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</si>
  <si>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</si>
  <si>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</si>
  <si>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</si>
  <si>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</si>
  <si>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</si>
  <si>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</si>
  <si>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</si>
  <si>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</si>
  <si>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</si>
  <si>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</si>
  <si>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</si>
  <si>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</si>
  <si>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</si>
  <si>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</si>
  <si>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</si>
  <si>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</si>
  <si>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</si>
  <si>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</si>
  <si>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</si>
  <si>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</si>
  <si>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</si>
  <si>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</si>
  <si>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</si>
  <si>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</si>
  <si>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</si>
  <si>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</si>
  <si>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</si>
  <si>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</si>
  <si>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</si>
  <si>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</si>
  <si>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</si>
  <si>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</si>
  <si>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</si>
  <si>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</si>
  <si>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</si>
  <si>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</si>
  <si>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</si>
  <si>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</si>
  <si>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</si>
  <si>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</si>
  <si>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</si>
  <si>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</si>
  <si>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</si>
  <si>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</si>
  <si>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</si>
  <si>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</si>
  <si>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</si>
  <si>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</si>
  <si>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</si>
  <si>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</si>
  <si>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</si>
  <si>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</si>
  <si>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</si>
  <si>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</si>
  <si>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</si>
  <si>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</si>
  <si>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</si>
  <si>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</si>
  <si>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</si>
  <si>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</si>
  <si>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</si>
  <si>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</si>
  <si>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</si>
  <si>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</si>
  <si>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</si>
  <si>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</si>
  <si>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</si>
  <si>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</si>
  <si>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</si>
  <si>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</si>
  <si>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</si>
  <si>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</si>
  <si>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</si>
  <si>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</si>
  <si>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</si>
  <si>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</si>
  <si>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</si>
  <si>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</si>
  <si>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</si>
  <si>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</si>
  <si>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</si>
  <si>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</si>
  <si>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</si>
  <si>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</si>
  <si>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</si>
  <si>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</si>
  <si>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</si>
  <si>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</si>
  <si>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</si>
  <si>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</si>
  <si>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</si>
  <si>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</si>
  <si>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</si>
  <si>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</si>
  <si>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</si>
  <si>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</si>
  <si>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</si>
  <si>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</si>
  <si>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</si>
  <si>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</si>
  <si>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</si>
  <si>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</si>
  <si>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</si>
  <si>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</si>
  <si>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</si>
  <si>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</si>
  <si>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</si>
  <si>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</si>
  <si>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</si>
  <si>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</si>
  <si>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</si>
  <si>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</si>
  <si>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</si>
  <si>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</si>
  <si>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</si>
  <si>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</si>
  <si>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</si>
  <si>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</si>
  <si>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</si>
  <si>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</si>
  <si>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</si>
  <si>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</si>
  <si>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</si>
  <si>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</si>
  <si>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</si>
  <si>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</si>
  <si>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</si>
  <si>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</si>
  <si>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</si>
  <si>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</si>
  <si>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</si>
  <si>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</si>
  <si>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</si>
  <si>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</si>
  <si>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</si>
  <si>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</si>
  <si>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</si>
  <si>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</si>
  <si>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</si>
  <si>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</si>
  <si>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</si>
  <si>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</si>
  <si>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</si>
  <si>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</si>
  <si>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</si>
  <si>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</si>
  <si>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</si>
  <si>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</si>
  <si>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</si>
  <si>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</si>
  <si>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</si>
  <si>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</si>
  <si>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</si>
  <si>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</si>
  <si>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</si>
  <si>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</si>
  <si>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</si>
  <si>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</si>
  <si>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</si>
  <si>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</si>
  <si>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</si>
  <si>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</si>
  <si>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</si>
  <si>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</si>
  <si>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</si>
  <si>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</si>
  <si>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</si>
  <si>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</si>
  <si>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</si>
  <si>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</si>
  <si>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</si>
  <si>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</si>
  <si>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</si>
  <si>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</si>
  <si>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</si>
  <si>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</si>
  <si>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</si>
  <si>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</si>
  <si>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</si>
  <si>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</si>
  <si>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</si>
  <si>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</si>
  <si>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</si>
  <si>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</si>
  <si>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</si>
  <si>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</si>
  <si>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</si>
  <si>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</si>
  <si>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</si>
  <si>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</si>
  <si>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</si>
  <si>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</si>
  <si>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</si>
  <si>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</si>
  <si>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</si>
  <si>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</si>
  <si>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</si>
  <si>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</si>
  <si>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</si>
  <si>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</si>
  <si>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</si>
  <si>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</si>
  <si>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</si>
  <si>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</si>
  <si>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</si>
  <si>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</si>
  <si>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</si>
  <si>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</si>
  <si>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</si>
  <si>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</si>
  <si>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</si>
  <si>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</si>
  <si>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</si>
  <si>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</si>
  <si>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</si>
  <si>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</si>
  <si>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</si>
  <si>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</si>
  <si>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</si>
  <si>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</si>
  <si>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</si>
  <si>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</si>
  <si>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</si>
  <si>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</si>
  <si>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</si>
  <si>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</si>
  <si>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</si>
  <si>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</si>
  <si>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</si>
  <si>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</si>
  <si>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</si>
  <si>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</si>
  <si>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</si>
  <si>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</si>
  <si>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</si>
  <si>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</si>
  <si>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</si>
  <si>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</si>
  <si>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</si>
  <si>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</si>
  <si>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</si>
  <si>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</si>
  <si>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</si>
  <si>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</si>
  <si>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</si>
  <si>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</si>
  <si>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</si>
  <si>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</si>
  <si>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</si>
  <si>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</si>
  <si>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</si>
  <si>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</si>
  <si>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</si>
  <si>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</si>
  <si>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</si>
  <si>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</si>
  <si>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</si>
  <si>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</si>
  <si>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</si>
  <si>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</si>
  <si>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</si>
  <si>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</si>
  <si>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</si>
  <si>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</si>
  <si>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</si>
  <si>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</si>
  <si>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</si>
  <si>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</si>
  <si>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</si>
  <si>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</si>
  <si>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</si>
  <si>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</si>
  <si>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</si>
  <si>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</si>
  <si>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</si>
  <si>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</si>
  <si>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</si>
  <si>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</si>
  <si>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</si>
  <si>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</si>
  <si>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</si>
  <si>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</si>
  <si>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</si>
  <si>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</si>
  <si>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</si>
  <si>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</si>
  <si>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</si>
  <si>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</si>
  <si>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</si>
  <si>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</si>
  <si>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</si>
  <si>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</si>
  <si>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</si>
  <si>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</si>
  <si>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</si>
  <si>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</si>
  <si>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</si>
  <si>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</si>
  <si>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</si>
  <si>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</si>
  <si>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</si>
  <si>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</si>
  <si>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</si>
  <si>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</si>
  <si>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</si>
  <si>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</si>
  <si>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</si>
  <si>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</si>
  <si>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</si>
  <si>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</si>
  <si>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</si>
  <si>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</si>
  <si>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</si>
  <si>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</si>
  <si>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</si>
  <si>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</si>
  <si>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</si>
  <si>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</si>
  <si>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</si>
  <si>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</si>
  <si>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</si>
  <si>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</si>
  <si>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</si>
  <si>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</si>
  <si>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</si>
  <si>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</si>
  <si>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</si>
  <si>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</si>
  <si>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</si>
  <si>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</si>
  <si>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</si>
  <si>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</si>
  <si>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</si>
  <si>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</si>
  <si>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</si>
  <si>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</si>
  <si>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</si>
  <si>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</si>
  <si>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</si>
  <si>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</si>
  <si>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</si>
  <si>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</si>
  <si>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</si>
  <si>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</si>
  <si>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</si>
  <si>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</si>
  <si>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</si>
  <si>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</si>
  <si>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</si>
  <si>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</si>
  <si>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</si>
  <si>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</si>
  <si>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</si>
  <si>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</si>
  <si>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</si>
  <si>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</si>
  <si>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</si>
  <si>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</si>
  <si>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</si>
  <si>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</si>
  <si>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</si>
  <si>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</si>
  <si>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</si>
  <si>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</si>
  <si>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</si>
  <si>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</si>
  <si>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</si>
  <si>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</si>
  <si>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</si>
  <si>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</si>
  <si>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</si>
  <si>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</si>
  <si>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</si>
  <si>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</si>
  <si>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</si>
  <si>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</si>
  <si>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</si>
  <si>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</si>
  <si>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</si>
  <si>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</si>
  <si>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</si>
  <si>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</si>
  <si>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</si>
  <si>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</si>
  <si>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</si>
  <si>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</si>
  <si>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</si>
  <si>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</si>
  <si>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</si>
  <si>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</si>
  <si>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</si>
  <si>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</si>
  <si>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</si>
  <si>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</si>
  <si>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</si>
  <si>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</si>
  <si>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</si>
  <si>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</si>
  <si>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</si>
  <si>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</si>
  <si>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</si>
  <si>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</si>
  <si>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</si>
  <si>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</si>
  <si>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</si>
  <si>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</si>
  <si>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</si>
  <si>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</si>
  <si>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</si>
  <si>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</si>
  <si>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</si>
  <si>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</si>
  <si>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</si>
  <si>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</si>
  <si>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</si>
  <si>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</si>
  <si>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</si>
  <si>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</si>
  <si>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</si>
  <si>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</si>
  <si>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</si>
  <si>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</si>
  <si>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</si>
  <si>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</si>
  <si>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</si>
  <si>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</si>
  <si>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</si>
  <si>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</si>
  <si>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</si>
  <si>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</si>
  <si>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</si>
  <si>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</si>
  <si>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</si>
  <si>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</si>
  <si>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</si>
  <si>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</si>
  <si>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</si>
  <si>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</si>
  <si>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</si>
  <si>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</si>
  <si>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</si>
  <si>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</si>
  <si>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</si>
  <si>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</si>
  <si>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</si>
  <si>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</si>
  <si>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</si>
  <si>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</si>
  <si>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</si>
  <si>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</si>
  <si>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</si>
  <si>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</si>
  <si>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</si>
  <si>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</si>
  <si>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</si>
  <si>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</si>
  <si>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</si>
  <si>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</si>
  <si>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</si>
  <si>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</si>
  <si>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</si>
  <si>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</si>
  <si>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</si>
  <si>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</si>
  <si>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</si>
  <si>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</si>
  <si>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</si>
  <si>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</si>
  <si>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</si>
  <si>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</si>
  <si>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</si>
  <si>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</si>
  <si>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</si>
  <si>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</si>
  <si>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</si>
  <si>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</si>
  <si>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</si>
  <si>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</si>
  <si>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</si>
  <si>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</si>
  <si>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</si>
  <si>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</si>
  <si>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</si>
  <si>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</si>
  <si>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</si>
  <si>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</si>
  <si>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</si>
  <si>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</si>
  <si>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</si>
  <si>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</si>
  <si>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</si>
  <si>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</si>
  <si>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</si>
  <si>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</si>
  <si>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</si>
  <si>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</si>
  <si>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</si>
  <si>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</si>
  <si>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</si>
  <si>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</si>
  <si>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</si>
  <si>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</si>
  <si>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</si>
  <si>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</si>
  <si>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</si>
  <si>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</si>
  <si>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</si>
  <si>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</si>
  <si>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</si>
  <si>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</si>
  <si>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</si>
  <si>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</si>
  <si>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</si>
  <si>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</si>
  <si>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</si>
  <si>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</si>
  <si>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</si>
  <si>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</si>
  <si>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</si>
  <si>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</si>
  <si>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</si>
  <si>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</si>
  <si>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</si>
  <si>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</si>
  <si>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</si>
  <si>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</si>
  <si>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</si>
  <si>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</si>
  <si>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</si>
  <si>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</si>
  <si>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</si>
  <si>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</si>
  <si>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</si>
  <si>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</si>
  <si>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</si>
  <si>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</si>
  <si>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</si>
  <si>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</si>
  <si>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</si>
  <si>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</si>
  <si>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</si>
  <si>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</si>
  <si>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</si>
  <si>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</si>
  <si>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</si>
  <si>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</si>
  <si>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</si>
  <si>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</si>
  <si>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</si>
  <si>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</si>
  <si>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</si>
  <si>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</si>
  <si>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</si>
  <si>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</si>
  <si>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</si>
  <si>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</si>
  <si>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</si>
  <si>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</si>
  <si>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</si>
  <si>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</si>
  <si>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</si>
  <si>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</si>
  <si>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</si>
  <si>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</si>
  <si>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</si>
  <si>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</si>
  <si>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</si>
  <si>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</si>
  <si>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</si>
  <si>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</si>
  <si>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</si>
  <si>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</si>
  <si>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</si>
  <si>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</si>
  <si>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</si>
  <si>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</si>
  <si>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</si>
  <si>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</si>
  <si>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</si>
  <si>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</si>
  <si>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</si>
  <si>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</si>
  <si>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</si>
  <si>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</si>
  <si>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</si>
  <si>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</si>
  <si>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</si>
  <si>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</si>
  <si>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</si>
  <si>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</si>
  <si>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</si>
  <si>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</si>
  <si>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</si>
  <si>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</si>
  <si>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</si>
  <si>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</si>
  <si>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</si>
  <si>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</si>
  <si>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</si>
  <si>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</si>
  <si>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</si>
  <si>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</si>
  <si>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</si>
  <si>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</si>
  <si>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</si>
  <si>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</si>
  <si>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</si>
  <si>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</si>
  <si>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</si>
  <si>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</si>
  <si>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</si>
  <si>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</si>
  <si>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</si>
  <si>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</si>
  <si>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</si>
  <si>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</si>
  <si>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</si>
  <si>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</si>
  <si>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</si>
  <si>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</si>
  <si>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</si>
  <si>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</si>
  <si>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</si>
  <si>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</si>
  <si>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</si>
  <si>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</si>
  <si>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</si>
  <si>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</si>
  <si>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</si>
  <si>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</si>
  <si>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</si>
  <si>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</si>
  <si>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</si>
  <si>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</si>
  <si>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</si>
  <si>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</si>
  <si>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</si>
  <si>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</si>
  <si>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</si>
  <si>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</si>
  <si>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</si>
  <si>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</si>
  <si>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</si>
  <si>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</si>
  <si>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</si>
  <si>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</si>
  <si>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</si>
  <si>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</si>
  <si>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</si>
  <si>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</si>
  <si>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</si>
  <si>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</si>
  <si>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</si>
  <si>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</si>
  <si>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</si>
  <si>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</si>
  <si>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</si>
  <si>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</si>
  <si>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</si>
  <si>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</si>
  <si>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</si>
  <si>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</si>
  <si>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</si>
  <si>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</si>
  <si>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</si>
  <si>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</si>
  <si>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</si>
  <si>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</si>
  <si>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</si>
  <si>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</si>
  <si>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</si>
  <si>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</si>
  <si>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</si>
  <si>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</si>
  <si>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</si>
  <si>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</si>
  <si>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</si>
  <si>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</si>
  <si>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</si>
  <si>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</si>
  <si>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</si>
  <si>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</si>
  <si>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</si>
  <si>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</si>
  <si>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</si>
  <si>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</si>
  <si>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</si>
  <si>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</si>
  <si>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</si>
  <si>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</si>
  <si>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</si>
  <si>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</si>
  <si>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</si>
  <si>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</si>
  <si>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</si>
  <si>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</si>
  <si>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</si>
  <si>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</si>
  <si>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</si>
  <si>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</si>
  <si>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</si>
  <si>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</si>
  <si>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</si>
  <si>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</si>
  <si>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</si>
  <si>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</si>
  <si>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</si>
  <si>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</si>
  <si>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</si>
  <si>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</si>
  <si>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</si>
  <si>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</si>
  <si>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</si>
  <si>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</si>
  <si>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</si>
  <si>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</si>
  <si>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</si>
  <si>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</si>
  <si>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</si>
  <si>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</si>
  <si>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</si>
  <si>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</si>
  <si>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</si>
  <si>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</si>
  <si>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</si>
  <si>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</si>
  <si>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</si>
  <si>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</si>
  <si>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</si>
  <si>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</si>
  <si>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</si>
  <si>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</si>
  <si>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</si>
  <si>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</si>
  <si>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</si>
  <si>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</si>
  <si>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</si>
  <si>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</si>
  <si>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</si>
  <si>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</si>
  <si>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</si>
  <si>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</si>
  <si>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</si>
  <si>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</si>
  <si>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</si>
  <si>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</si>
  <si>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</si>
  <si>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</si>
  <si>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</si>
  <si>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</si>
  <si>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</si>
  <si>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</si>
  <si>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</si>
  <si>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</si>
  <si>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</si>
  <si>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</si>
  <si>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</si>
  <si>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</si>
  <si>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</si>
  <si>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</si>
  <si>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</si>
  <si>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</si>
  <si>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</si>
  <si>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</si>
  <si>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</si>
  <si>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</si>
  <si>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</si>
  <si>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</si>
  <si>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</si>
  <si>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</si>
  <si>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</si>
  <si>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</si>
  <si>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</si>
  <si>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</si>
  <si>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</si>
  <si>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</si>
  <si>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</si>
  <si>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</si>
  <si>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</si>
  <si>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</si>
  <si>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</si>
  <si>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</si>
  <si>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</si>
  <si>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</si>
  <si>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</si>
  <si>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</si>
  <si>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</si>
  <si>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</si>
  <si>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</si>
  <si>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</si>
  <si>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</si>
  <si>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</si>
  <si>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</si>
  <si>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</si>
  <si>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</si>
  <si>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</si>
  <si>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</si>
  <si>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</si>
  <si>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</si>
  <si>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</si>
  <si>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</si>
  <si>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</si>
  <si>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</si>
  <si>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</si>
  <si>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</si>
  <si>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</si>
  <si>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</si>
  <si>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</si>
  <si>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</si>
  <si>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</si>
  <si>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</si>
  <si>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</si>
  <si>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</si>
  <si>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</si>
  <si>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</si>
  <si>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</si>
  <si>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</si>
  <si>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</si>
  <si>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</si>
  <si>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</si>
  <si>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</si>
  <si>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</si>
  <si>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</si>
  <si>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</si>
  <si>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</si>
  <si>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</si>
  <si>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</si>
  <si>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</si>
  <si>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</si>
  <si>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</si>
  <si>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</si>
  <si>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</si>
  <si>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</si>
  <si>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</si>
  <si>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</si>
  <si>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</si>
  <si>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</si>
  <si>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</si>
  <si>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</si>
  <si>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</si>
  <si>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</si>
  <si>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</si>
  <si>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</si>
  <si>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</si>
  <si>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</si>
  <si>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</si>
  <si>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</si>
  <si>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</si>
  <si>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</si>
  <si>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</si>
  <si>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</si>
  <si>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</si>
  <si>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</si>
  <si>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</si>
  <si>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</si>
  <si>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</si>
  <si>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</si>
  <si>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</si>
  <si>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</si>
  <si>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</si>
  <si>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</si>
  <si>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</si>
  <si>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</si>
  <si>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</si>
  <si>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</si>
  <si>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</si>
  <si>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</si>
  <si>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</si>
  <si>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</si>
  <si>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</si>
  <si>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</si>
  <si>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</si>
  <si>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</si>
  <si>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</si>
  <si>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</si>
  <si>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</si>
  <si>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</si>
  <si>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</si>
  <si>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</si>
  <si>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</si>
  <si>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</si>
  <si>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</si>
  <si>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</si>
  <si>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</si>
  <si>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</si>
  <si>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</si>
  <si>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</si>
  <si>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</si>
  <si>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</si>
  <si>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</si>
  <si>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</si>
  <si>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</si>
  <si>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</si>
  <si>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</si>
  <si>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</si>
  <si>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</si>
  <si>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</si>
  <si>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</si>
  <si>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</si>
  <si>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</si>
  <si>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</si>
  <si>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</si>
  <si>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</si>
  <si>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</si>
  <si>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</si>
  <si>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</si>
  <si>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</si>
  <si>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</si>
  <si>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</si>
  <si>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</si>
  <si>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</si>
  <si>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</si>
  <si>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</si>
  <si>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</si>
  <si>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</si>
  <si>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</si>
  <si>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</si>
  <si>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</si>
  <si>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</si>
  <si>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</si>
  <si>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</si>
  <si>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</si>
  <si>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</si>
  <si>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</si>
  <si>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</si>
  <si>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</si>
  <si>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</si>
  <si>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</si>
  <si>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</si>
  <si>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</si>
  <si>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</si>
  <si>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</si>
  <si>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</si>
  <si>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</si>
  <si>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</si>
  <si>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</si>
  <si>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</si>
  <si>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</si>
  <si>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</si>
  <si>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</si>
  <si>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</si>
  <si>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</si>
  <si>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</si>
  <si>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</si>
  <si>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</si>
  <si>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</si>
  <si>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</si>
  <si>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</si>
  <si>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</si>
  <si>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</si>
  <si>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</si>
  <si>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</si>
  <si>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</si>
  <si>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</si>
  <si>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</si>
  <si>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</si>
  <si>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</si>
  <si>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</si>
  <si>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</si>
  <si>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</si>
  <si>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</si>
  <si>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</si>
  <si>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</si>
  <si>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</si>
  <si>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</si>
  <si>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</si>
  <si>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</si>
  <si>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</si>
  <si>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</si>
  <si>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</si>
  <si>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</si>
  <si>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</si>
  <si>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</si>
  <si>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</si>
  <si>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</si>
  <si>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</si>
  <si>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</si>
  <si>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</si>
  <si>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</si>
  <si>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</si>
  <si>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</si>
  <si>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</si>
  <si>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</si>
  <si>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</si>
  <si>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</si>
  <si>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</si>
  <si>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</si>
  <si>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</si>
  <si>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</si>
  <si>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</si>
  <si>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</si>
  <si>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</si>
  <si>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</si>
  <si>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</si>
  <si>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</si>
  <si>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</si>
  <si>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</si>
  <si>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</si>
  <si>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</si>
  <si>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</si>
  <si>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</si>
  <si>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</si>
  <si>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</si>
  <si>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</si>
  <si>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</si>
  <si>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</si>
  <si>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</si>
  <si>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</si>
  <si>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</si>
  <si>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</si>
  <si>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</si>
  <si>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</si>
  <si>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</si>
  <si>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</si>
  <si>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</si>
  <si>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</si>
  <si>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</si>
  <si>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</si>
  <si>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</si>
  <si>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</si>
  <si>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</si>
  <si>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</si>
  <si>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</si>
  <si>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</si>
  <si>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</si>
  <si>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</si>
  <si>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</si>
  <si>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</si>
  <si>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</si>
  <si>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</si>
  <si>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</si>
  <si>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</si>
  <si>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</si>
  <si>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</si>
  <si>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</si>
  <si>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</si>
  <si>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</si>
  <si>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</si>
  <si>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</si>
  <si>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</si>
  <si>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</si>
  <si>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</si>
  <si>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</si>
  <si>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</si>
  <si>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</si>
  <si>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</si>
  <si>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</si>
  <si>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</si>
  <si>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</si>
  <si>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</si>
  <si>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</si>
  <si>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</si>
  <si>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</si>
  <si>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</si>
  <si>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</si>
  <si>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</si>
  <si>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</si>
  <si>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</si>
  <si>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</si>
  <si>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</si>
  <si>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</si>
  <si>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</si>
  <si>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</si>
  <si>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</si>
  <si>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</si>
  <si>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</si>
  <si>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</si>
  <si>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</si>
  <si>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</si>
  <si>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</si>
  <si>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</si>
  <si>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</si>
  <si>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</si>
  <si>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</si>
  <si>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</si>
  <si>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</si>
  <si>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</si>
  <si>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</si>
  <si>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</si>
  <si>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</si>
  <si>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</si>
  <si>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</si>
  <si>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</si>
  <si>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</si>
  <si>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</si>
  <si>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</si>
  <si>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</si>
  <si>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</si>
  <si>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</si>
  <si>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</si>
  <si>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</si>
  <si>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</si>
  <si>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</si>
  <si>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</si>
  <si>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</si>
  <si>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</si>
  <si>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</si>
  <si>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</si>
  <si>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</si>
  <si>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</si>
  <si>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</si>
  <si>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</si>
  <si>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</si>
  <si>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</si>
  <si>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</si>
  <si>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</si>
  <si>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</si>
  <si>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</si>
  <si>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</si>
  <si>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</si>
  <si>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</si>
  <si>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</si>
  <si>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</si>
  <si>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</si>
  <si>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</si>
  <si>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</si>
  <si>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</si>
  <si>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</si>
  <si>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</si>
  <si>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</si>
  <si>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</si>
  <si>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</si>
  <si>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</si>
  <si>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</si>
  <si>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</si>
  <si>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</si>
  <si>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</si>
  <si>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</si>
  <si>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</si>
  <si>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</si>
  <si>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</si>
  <si>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</si>
  <si>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</si>
  <si>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</si>
  <si>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</si>
  <si>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</si>
  <si>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</si>
  <si>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</si>
  <si>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</si>
  <si>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</si>
  <si>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</si>
  <si>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</si>
  <si>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</si>
  <si>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</si>
  <si>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</si>
  <si>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</si>
  <si>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</si>
  <si>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</si>
  <si>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</si>
  <si>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</si>
  <si>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</si>
  <si>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</si>
  <si>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</si>
  <si>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</si>
  <si>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</si>
  <si>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</si>
  <si>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</si>
  <si>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</si>
  <si>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</si>
  <si>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</si>
  <si>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</si>
  <si>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</si>
  <si>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</si>
  <si>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</si>
  <si>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</si>
  <si>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</si>
  <si>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</si>
  <si>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</si>
  <si>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</si>
  <si>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</si>
  <si>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</si>
  <si>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</si>
  <si>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</si>
  <si>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</si>
  <si>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</si>
  <si>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</si>
  <si>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</si>
  <si>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</si>
  <si>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</si>
  <si>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</si>
  <si>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</si>
  <si>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</si>
  <si>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</si>
  <si>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</si>
  <si>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</si>
  <si>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</si>
  <si>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</si>
  <si>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</si>
  <si>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</si>
  <si>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</si>
  <si>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</si>
  <si>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</si>
  <si>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</si>
  <si>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</si>
  <si>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</si>
  <si>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</si>
  <si>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</si>
  <si>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</si>
  <si>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</si>
  <si>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</si>
  <si>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</si>
  <si>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</si>
  <si>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</si>
  <si>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</si>
  <si>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</si>
  <si>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</si>
  <si>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</si>
  <si>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</si>
  <si>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</si>
  <si>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</si>
  <si>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</si>
  <si>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</si>
  <si>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</si>
  <si>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</si>
  <si>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</si>
  <si>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</si>
  <si>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</si>
  <si>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</si>
  <si>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</si>
  <si>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</si>
  <si>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</si>
  <si>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</si>
  <si>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</si>
  <si>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</si>
  <si>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</si>
  <si>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</si>
  <si>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</si>
  <si>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</si>
  <si>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</si>
  <si>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</si>
  <si>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</si>
  <si>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</si>
  <si>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</si>
  <si>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</si>
  <si>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</si>
  <si>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</si>
  <si>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</si>
  <si>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</si>
  <si>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</si>
  <si>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</si>
  <si>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</si>
  <si>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</si>
  <si>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</si>
  <si>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</si>
  <si>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</si>
  <si>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</si>
  <si>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</si>
  <si>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</si>
  <si>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</si>
  <si>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</si>
  <si>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</si>
  <si>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</si>
  <si>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</si>
  <si>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</si>
  <si>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</si>
  <si>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</si>
  <si>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</si>
  <si>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</si>
  <si>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</si>
  <si>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</si>
  <si>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</si>
  <si>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</si>
  <si>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</si>
  <si>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</si>
  <si>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</si>
  <si>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</si>
  <si>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</si>
  <si>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</si>
  <si>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</si>
  <si>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</si>
  <si>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</si>
  <si>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</si>
  <si>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</si>
  <si>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</si>
  <si>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</si>
  <si>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</si>
  <si>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</si>
  <si>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</si>
  <si>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</si>
  <si>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</si>
  <si>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</si>
  <si>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</si>
  <si>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</si>
  <si>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</si>
  <si>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</si>
  <si>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</si>
  <si>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</si>
  <si>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</si>
  <si>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</si>
  <si>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</si>
  <si>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</si>
  <si>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</si>
  <si>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</si>
  <si>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</si>
  <si>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</si>
  <si>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</si>
  <si>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</si>
  <si>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</si>
  <si>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</si>
  <si>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</si>
  <si>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</si>
  <si>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</si>
  <si>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</si>
  <si>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</si>
  <si>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</si>
  <si>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</si>
  <si>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</si>
  <si>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</si>
  <si>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</si>
  <si>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</si>
  <si>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</si>
  <si>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</si>
  <si>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</si>
  <si>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</si>
  <si>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</si>
  <si>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</si>
  <si>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</si>
  <si>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</si>
  <si>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</si>
  <si>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</si>
  <si>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</si>
  <si>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</si>
  <si>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</si>
  <si>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</si>
  <si>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</si>
  <si>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</si>
  <si>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</si>
  <si>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</si>
  <si>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</si>
  <si>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</si>
  <si>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</si>
  <si>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</si>
  <si>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</si>
  <si>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</si>
  <si>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</si>
  <si>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</si>
  <si>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</si>
  <si>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</si>
  <si>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</si>
  <si>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</si>
  <si>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</si>
  <si>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</si>
  <si>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</si>
  <si>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</si>
  <si>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</si>
  <si>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</si>
  <si>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</si>
  <si>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</si>
  <si>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</si>
  <si>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</si>
  <si>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</si>
  <si>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</si>
  <si>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</si>
  <si>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</si>
  <si>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</si>
  <si>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</si>
  <si>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</si>
  <si>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</si>
  <si>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</si>
  <si>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</si>
  <si>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</si>
  <si>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</si>
  <si>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</si>
  <si>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</si>
  <si>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</si>
  <si>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</si>
  <si>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</si>
  <si>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</si>
  <si>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</si>
  <si>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</si>
  <si>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</si>
  <si>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</si>
  <si>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</si>
  <si>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</si>
  <si>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</si>
  <si>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</si>
  <si>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</si>
  <si>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</si>
  <si>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</si>
  <si>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</si>
  <si>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</si>
  <si>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</si>
  <si>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</si>
  <si>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</si>
  <si>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</si>
  <si>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</si>
  <si>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</si>
  <si>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</si>
  <si>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</si>
  <si>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</si>
  <si>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</si>
  <si>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</si>
  <si>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</si>
  <si>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</si>
  <si>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</si>
  <si>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</si>
  <si>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</si>
  <si>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</si>
  <si>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</si>
  <si>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</si>
  <si>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</si>
  <si>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</si>
  <si>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</si>
  <si>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</si>
  <si>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</si>
  <si>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</si>
  <si>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</si>
  <si>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</si>
  <si>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</si>
  <si>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</si>
  <si>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</si>
  <si>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</si>
  <si>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</si>
  <si>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</si>
  <si>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</si>
  <si>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</si>
  <si>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</si>
  <si>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</si>
  <si>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</si>
  <si>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</si>
  <si>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</si>
  <si>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</si>
  <si>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</si>
  <si>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</si>
  <si>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</si>
  <si>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</si>
  <si>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</si>
  <si>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</si>
  <si>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</si>
  <si>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</si>
  <si>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</si>
  <si>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</si>
  <si>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</si>
  <si>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</si>
  <si>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</si>
  <si>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</si>
  <si>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</si>
  <si>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</si>
  <si>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</si>
  <si>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</si>
  <si>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</si>
  <si>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</si>
  <si>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</si>
  <si>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</si>
  <si>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</si>
  <si>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</si>
  <si>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</si>
  <si>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</si>
  <si>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</si>
  <si>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</si>
  <si>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</si>
  <si>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</si>
  <si>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</si>
  <si>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</si>
  <si>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</si>
  <si>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</si>
  <si>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</si>
  <si>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</si>
  <si>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</si>
  <si>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</si>
  <si>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</si>
  <si>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</si>
  <si>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</si>
  <si>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</si>
  <si>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</si>
  <si>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</si>
  <si>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</si>
  <si>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</si>
  <si>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</si>
  <si>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</si>
  <si>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</si>
  <si>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</si>
  <si>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</si>
  <si>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</si>
  <si>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</si>
  <si>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</si>
  <si>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</si>
  <si>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</si>
  <si>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</si>
  <si>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</si>
  <si>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</si>
  <si>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</si>
  <si>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</si>
  <si>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</si>
  <si>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</si>
  <si>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</si>
  <si>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</si>
  <si>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</si>
  <si>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</si>
  <si>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</si>
  <si>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</si>
  <si>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</si>
  <si>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</si>
  <si>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</si>
  <si>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</si>
  <si>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</si>
  <si>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</si>
  <si>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</si>
  <si>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</si>
  <si>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</si>
  <si>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</si>
  <si>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</si>
  <si>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</si>
  <si>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</si>
  <si>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</si>
  <si>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</si>
  <si>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</si>
  <si>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</si>
  <si>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</si>
  <si>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</si>
  <si>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</si>
  <si>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</si>
  <si>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</si>
  <si>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</si>
  <si>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</si>
  <si>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</si>
  <si>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</si>
  <si>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</si>
  <si>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</si>
  <si>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</si>
  <si>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</si>
  <si>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</si>
  <si>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</si>
  <si>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</si>
  <si>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</si>
  <si>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</si>
  <si>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</si>
  <si>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</si>
  <si>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</si>
  <si>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</si>
  <si>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</si>
  <si>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</si>
  <si>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</si>
  <si>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</si>
  <si>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</si>
  <si>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</si>
  <si>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</si>
  <si>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</si>
  <si>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</si>
  <si>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</si>
  <si>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</si>
  <si>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</si>
  <si>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</si>
  <si>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</si>
  <si>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</si>
  <si>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</si>
  <si>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</si>
  <si>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</si>
  <si>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</si>
  <si>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</si>
  <si>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</si>
  <si>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</si>
  <si>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</si>
  <si>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</si>
  <si>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</si>
  <si>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</si>
  <si>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</si>
  <si>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</si>
  <si>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</si>
  <si>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</si>
  <si>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</si>
  <si>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</si>
  <si>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</si>
  <si>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</si>
  <si>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</si>
  <si>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</si>
  <si>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</si>
  <si>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</si>
  <si>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</si>
  <si>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</si>
  <si>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</si>
  <si>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</si>
  <si>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</si>
  <si>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</si>
  <si>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</si>
  <si>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</si>
  <si>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</si>
  <si>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</si>
  <si>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</si>
  <si>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</si>
  <si>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</si>
  <si>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</si>
  <si>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</si>
  <si>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</si>
  <si>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</si>
  <si>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</si>
  <si>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</si>
  <si>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</si>
  <si>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</si>
  <si>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</si>
  <si>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</si>
  <si>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</si>
  <si>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</si>
  <si>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</si>
  <si>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</si>
  <si>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</si>
  <si>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</si>
  <si>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</si>
  <si>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</si>
  <si>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</si>
  <si>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</si>
  <si>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</si>
  <si>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</si>
  <si>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</si>
  <si>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</si>
  <si>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</si>
  <si>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</si>
  <si>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</si>
  <si>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</si>
  <si>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</si>
  <si>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</si>
  <si>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</si>
  <si>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</si>
  <si>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</si>
  <si>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</si>
  <si>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</si>
  <si>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</si>
  <si>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</si>
  <si>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</si>
  <si>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</si>
  <si>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</si>
  <si>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</si>
  <si>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</si>
  <si>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</si>
  <si>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</si>
  <si>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</si>
  <si>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</si>
  <si>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</si>
  <si>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</si>
  <si>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</si>
  <si>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</si>
  <si>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</si>
  <si>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</si>
  <si>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</si>
  <si>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</si>
  <si>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</si>
  <si>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</si>
  <si>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</si>
  <si>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</si>
  <si>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</si>
  <si>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</si>
  <si>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</si>
  <si>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</si>
  <si>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</si>
  <si>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</si>
  <si>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</si>
  <si>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</si>
  <si>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</si>
  <si>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</si>
  <si>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</si>
  <si>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</si>
  <si>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</si>
  <si>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</si>
  <si>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</si>
  <si>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</si>
  <si>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</si>
  <si>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</si>
  <si>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</si>
  <si>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</si>
  <si>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</si>
  <si>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</si>
  <si>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</si>
  <si>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</si>
  <si>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</si>
  <si>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</si>
  <si>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</si>
  <si>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</si>
  <si>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</si>
  <si>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</si>
  <si>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</si>
  <si>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</si>
  <si>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</si>
  <si>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</si>
  <si>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</si>
  <si>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</si>
  <si>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</si>
  <si>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</si>
  <si>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</si>
  <si>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</si>
  <si>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</si>
  <si>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</si>
  <si>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</si>
  <si>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</si>
  <si>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</si>
  <si>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</si>
  <si>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</si>
  <si>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</si>
  <si>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</si>
  <si>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</si>
  <si>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</si>
  <si>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</si>
  <si>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</si>
  <si>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</si>
  <si>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</si>
  <si>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</si>
  <si>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</si>
  <si>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</si>
  <si>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</si>
  <si>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</si>
  <si>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</si>
  <si>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</si>
  <si>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</si>
  <si>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</si>
  <si>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</si>
  <si>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</si>
  <si>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</si>
  <si>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</si>
  <si>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</si>
  <si>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</si>
  <si>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</si>
  <si>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</si>
  <si>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</si>
  <si>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</si>
  <si>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</si>
  <si>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</si>
  <si>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</si>
  <si>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</si>
  <si>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</si>
  <si>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</si>
  <si>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</si>
  <si>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</si>
  <si>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</si>
  <si>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</si>
  <si>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</si>
  <si>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</si>
  <si>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</si>
  <si>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</si>
  <si>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</si>
  <si>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</si>
  <si>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</si>
  <si>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</si>
  <si>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</si>
  <si>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</si>
  <si>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</si>
  <si>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</si>
  <si>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</si>
  <si>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</si>
  <si>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</si>
  <si>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</si>
  <si>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</si>
  <si>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</si>
  <si>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</si>
  <si>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</si>
  <si>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</si>
  <si>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</si>
  <si>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</si>
  <si>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</si>
  <si>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</si>
  <si>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</si>
  <si>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</si>
  <si>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</si>
  <si>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</si>
  <si>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</si>
  <si>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</si>
  <si>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</si>
  <si>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</si>
  <si>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</si>
  <si>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</si>
  <si>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</si>
  <si>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</si>
  <si>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</si>
  <si>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</si>
  <si>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</si>
  <si>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</si>
  <si>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</si>
  <si>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</si>
  <si>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</si>
  <si>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</si>
  <si>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</si>
  <si>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</si>
  <si>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</si>
  <si>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</si>
  <si>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</si>
  <si>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</si>
  <si>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</si>
  <si>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</si>
  <si>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</si>
  <si>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</si>
  <si>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</si>
  <si>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</si>
  <si>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</si>
  <si>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</si>
  <si>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</si>
  <si>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</si>
  <si>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</si>
  <si>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</si>
  <si>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</si>
  <si>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</si>
  <si>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</si>
  <si>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</si>
  <si>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</si>
  <si>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</si>
  <si>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</si>
  <si>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</si>
  <si>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</si>
  <si>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</si>
  <si>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</si>
  <si>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</si>
  <si>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</si>
  <si>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</si>
  <si>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</si>
  <si>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</si>
  <si>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</si>
  <si>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</si>
  <si>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</si>
  <si>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</si>
  <si>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</si>
  <si>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</si>
  <si>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</si>
  <si>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</si>
  <si>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</si>
  <si>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</si>
  <si>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</si>
  <si>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</si>
  <si>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</si>
  <si>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</si>
  <si>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</si>
  <si>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</si>
  <si>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</si>
  <si>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</si>
  <si>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</si>
  <si>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</si>
  <si>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</si>
  <si>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</si>
  <si>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</si>
  <si>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</si>
  <si>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</si>
  <si>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</si>
  <si>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</si>
  <si>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</si>
  <si>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</si>
  <si>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</si>
  <si>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</si>
  <si>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</si>
  <si>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</si>
  <si>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</si>
  <si>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</si>
  <si>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</si>
  <si>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</si>
  <si>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</si>
  <si>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</si>
  <si>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</si>
  <si>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</si>
  <si>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</si>
  <si>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</si>
  <si>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</si>
  <si>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</si>
  <si>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</si>
  <si>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</si>
  <si>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</si>
  <si>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</si>
  <si>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</si>
  <si>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</si>
  <si>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</si>
  <si>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</si>
  <si>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</si>
  <si>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</si>
  <si>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</si>
  <si>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</si>
  <si>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</si>
  <si>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</si>
  <si>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</si>
  <si>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</si>
  <si>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</si>
  <si>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</si>
  <si>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</si>
  <si>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</si>
  <si>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</si>
  <si>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</si>
  <si>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</si>
  <si>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</si>
  <si>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</si>
  <si>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</si>
  <si>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</si>
  <si>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</si>
  <si>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</si>
  <si>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</si>
  <si>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</si>
  <si>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</si>
  <si>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</si>
  <si>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</si>
  <si>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</si>
  <si>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</si>
  <si>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</si>
  <si>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</si>
  <si>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</si>
  <si>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</si>
  <si>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</si>
  <si>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</si>
  <si>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</si>
  <si>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</si>
  <si>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</si>
  <si>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</si>
  <si>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</si>
  <si>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</si>
  <si>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</si>
  <si>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</si>
  <si>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</si>
  <si>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</si>
  <si>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</si>
  <si>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</si>
  <si>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</si>
  <si>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</si>
  <si>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</si>
  <si>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</si>
  <si>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</si>
  <si>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</si>
  <si>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</si>
  <si>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</si>
  <si>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</si>
  <si>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</si>
  <si>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</si>
  <si>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</si>
  <si>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</si>
  <si>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</si>
  <si>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</si>
  <si>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</si>
  <si>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</si>
  <si>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</si>
  <si>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</si>
  <si>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</si>
  <si>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</si>
  <si>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</si>
  <si>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</si>
  <si>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</si>
  <si>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</si>
  <si>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</si>
  <si>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</si>
  <si>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</si>
  <si>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</si>
  <si>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</si>
  <si>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</si>
  <si>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</si>
  <si>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</si>
  <si>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</si>
  <si>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</si>
  <si>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</si>
  <si>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</si>
  <si>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</si>
  <si>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</si>
  <si>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</si>
  <si>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</si>
  <si>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</si>
  <si>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</si>
  <si>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</si>
  <si>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</si>
  <si>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</si>
  <si>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</si>
  <si>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</si>
  <si>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</si>
  <si>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</si>
  <si>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</si>
  <si>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</si>
  <si>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</si>
  <si>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</si>
  <si>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</si>
  <si>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</si>
  <si>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</si>
  <si>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</si>
  <si>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</si>
  <si>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</si>
  <si>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</si>
  <si>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</si>
  <si>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</si>
  <si>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</si>
  <si>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</si>
  <si>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</si>
  <si>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</si>
  <si>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</si>
  <si>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</si>
  <si>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</si>
  <si>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</si>
  <si>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</si>
  <si>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</si>
  <si>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</si>
  <si>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</si>
  <si>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</si>
  <si>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</si>
  <si>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</si>
  <si>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</si>
  <si>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</si>
  <si>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</si>
  <si>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</si>
  <si>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</si>
  <si>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</si>
  <si>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</si>
  <si>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</si>
  <si>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</si>
  <si>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</si>
  <si>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</si>
  <si>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</si>
  <si>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</si>
  <si>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</si>
  <si>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</si>
  <si>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</si>
  <si>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</si>
  <si>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</si>
  <si>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</si>
  <si>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</si>
  <si>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</si>
  <si>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</si>
  <si>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</si>
  <si>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</si>
  <si>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</si>
  <si>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</si>
  <si>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</si>
  <si>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</si>
  <si>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</si>
  <si>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</si>
  <si>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</si>
  <si>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</si>
  <si>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</si>
  <si>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</si>
  <si>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</si>
  <si>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</si>
  <si>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</si>
  <si>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</si>
  <si>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</si>
  <si>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</si>
  <si>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</si>
  <si>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</si>
  <si>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</si>
  <si>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</si>
  <si>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</si>
  <si>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</si>
  <si>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</si>
  <si>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</si>
  <si>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</si>
  <si>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</si>
  <si>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</si>
  <si>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</si>
  <si>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</si>
  <si>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</si>
  <si>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</si>
  <si>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</si>
  <si>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</si>
  <si>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</si>
  <si>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</si>
  <si>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</si>
  <si>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</si>
  <si>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</si>
  <si>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</si>
  <si>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</si>
  <si>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</si>
  <si>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</si>
  <si>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</si>
  <si>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</si>
  <si>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</si>
  <si>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</si>
  <si>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</si>
  <si>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</si>
  <si>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</si>
  <si>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</si>
  <si>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</si>
  <si>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</si>
  <si>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</si>
  <si>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</si>
  <si>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</si>
  <si>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</si>
  <si>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</si>
  <si>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</si>
  <si>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</si>
  <si>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</si>
  <si>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</si>
  <si>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</si>
  <si>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</si>
  <si>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</si>
  <si>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</si>
  <si>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</si>
  <si>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</si>
  <si>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</si>
  <si>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</si>
  <si>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</si>
  <si>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</si>
  <si>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</si>
  <si>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</si>
  <si>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</si>
  <si>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</si>
  <si>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</si>
  <si>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</si>
  <si>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</si>
  <si>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</si>
  <si>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</si>
  <si>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</si>
  <si>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</si>
  <si>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</si>
  <si>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</si>
  <si>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</si>
  <si>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</si>
  <si>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</si>
  <si>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</si>
  <si>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</si>
  <si>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</si>
  <si>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</si>
  <si>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</si>
  <si>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</si>
  <si>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</si>
  <si>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</si>
  <si>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</si>
  <si>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</si>
  <si>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</si>
  <si>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</si>
  <si>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</si>
  <si>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</si>
  <si>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</si>
  <si>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</si>
  <si>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</si>
  <si>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</si>
  <si>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</si>
  <si>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</si>
  <si>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</si>
  <si>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</si>
  <si>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</si>
  <si>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</si>
  <si>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</si>
  <si>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</si>
  <si>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</si>
  <si>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</si>
  <si>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</si>
  <si>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</si>
  <si>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</si>
  <si>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</si>
  <si>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</si>
  <si>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</si>
  <si>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</si>
  <si>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</si>
  <si>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</si>
  <si>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</si>
  <si>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</si>
  <si>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</si>
  <si>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</si>
  <si>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</si>
  <si>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</si>
  <si>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</si>
  <si>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</si>
  <si>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</si>
  <si>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</si>
  <si>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</si>
  <si>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</si>
  <si>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</si>
  <si>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</si>
  <si>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</si>
  <si>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</si>
  <si>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</si>
  <si>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</si>
  <si>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</si>
  <si>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</si>
  <si>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</si>
  <si>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</si>
  <si>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</si>
  <si>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</si>
  <si>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</si>
  <si>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</si>
  <si>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</si>
  <si>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</si>
  <si>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</si>
  <si>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</si>
  <si>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</si>
  <si>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</si>
  <si>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</si>
  <si>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</si>
  <si>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</si>
  <si>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</si>
  <si>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</si>
  <si>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</si>
  <si>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</si>
  <si>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</si>
  <si>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</si>
  <si>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</si>
  <si>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</si>
  <si>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</si>
  <si>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</si>
  <si>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</si>
  <si>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</si>
  <si>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</si>
  <si>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</si>
  <si>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</si>
  <si>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</si>
  <si>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</si>
  <si>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</si>
  <si>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</si>
  <si>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</si>
  <si>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</si>
  <si>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</si>
  <si>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</si>
  <si>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</si>
  <si>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</si>
  <si>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</si>
  <si>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</si>
  <si>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</si>
  <si>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</si>
  <si>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</si>
  <si>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</si>
  <si>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</si>
  <si>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</si>
  <si>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</si>
  <si>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</si>
  <si>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</si>
  <si>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</si>
  <si>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</si>
  <si>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</si>
  <si>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</si>
  <si>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</si>
  <si>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</si>
  <si>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</si>
  <si>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</si>
  <si>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</si>
  <si>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</si>
  <si>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</si>
  <si>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</si>
  <si>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</si>
  <si>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</si>
  <si>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</si>
  <si>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</si>
  <si>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</si>
  <si>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</si>
  <si>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</si>
  <si>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</si>
  <si>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</si>
  <si>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</si>
  <si>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</si>
  <si>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</si>
  <si>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</si>
  <si>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</si>
  <si>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</si>
  <si>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</si>
  <si>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</si>
  <si>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</si>
  <si>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</si>
  <si>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</si>
  <si>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</si>
  <si>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</si>
  <si>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</si>
  <si>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</si>
  <si>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</si>
  <si>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</si>
  <si>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</si>
  <si>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</si>
  <si>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</si>
  <si>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</si>
  <si>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</si>
  <si>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</si>
  <si>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</si>
  <si>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</si>
  <si>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</si>
  <si>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</si>
  <si>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</si>
  <si>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</si>
  <si>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</si>
  <si>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</si>
  <si>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</si>
  <si>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</si>
  <si>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</si>
  <si>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</si>
  <si>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</si>
  <si>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</si>
  <si>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</si>
  <si>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</si>
  <si>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</si>
  <si>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</si>
  <si>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</si>
  <si>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</si>
  <si>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</si>
  <si>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</si>
  <si>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</si>
  <si>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</si>
  <si>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</si>
  <si>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</si>
  <si>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</si>
  <si>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</si>
  <si>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</si>
  <si>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</si>
  <si>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</si>
  <si>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</si>
  <si>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</si>
  <si>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</si>
  <si>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</si>
  <si>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</si>
  <si>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</si>
  <si>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</si>
  <si>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</si>
  <si>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</si>
  <si>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</si>
  <si>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</si>
  <si>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</si>
  <si>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</si>
  <si>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</si>
  <si>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</si>
  <si>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</si>
  <si>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</si>
  <si>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</si>
  <si>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</si>
  <si>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</si>
  <si>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</si>
  <si>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</si>
  <si>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</si>
  <si>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</si>
  <si>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</si>
  <si>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</si>
  <si>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</si>
  <si>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</si>
  <si>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</si>
  <si>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</si>
  <si>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</si>
  <si>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</si>
  <si>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</si>
  <si>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</si>
  <si>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</si>
  <si>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</si>
  <si>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</si>
  <si>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</si>
  <si>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</si>
  <si>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</si>
  <si>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</si>
  <si>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</si>
  <si>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</si>
  <si>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</si>
  <si>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</si>
  <si>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</si>
  <si>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</si>
  <si>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</si>
  <si>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</si>
  <si>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</si>
  <si>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</si>
  <si>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</si>
  <si>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</si>
  <si>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</si>
  <si>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</si>
  <si>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</si>
  <si>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</si>
  <si>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</si>
  <si>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</si>
  <si>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</si>
  <si>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</si>
  <si>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</si>
  <si>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</si>
  <si>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</si>
  <si>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</si>
  <si>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</si>
  <si>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</si>
  <si>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</si>
  <si>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</si>
  <si>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</si>
  <si>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</si>
  <si>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</si>
  <si>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</si>
  <si>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</si>
  <si>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</si>
  <si>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</si>
  <si>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</si>
  <si>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</si>
  <si>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</si>
  <si>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</si>
  <si>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</si>
  <si>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</si>
  <si>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</si>
  <si>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</si>
  <si>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</si>
  <si>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</si>
  <si>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</si>
  <si>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</si>
  <si>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</si>
  <si>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</si>
  <si>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</si>
  <si>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</si>
  <si>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</si>
  <si>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</si>
  <si>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</si>
  <si>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</si>
  <si>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</si>
  <si>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</si>
  <si>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</si>
  <si>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</si>
  <si>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</si>
  <si>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</si>
  <si>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</si>
  <si>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</si>
  <si>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</si>
  <si>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</si>
  <si>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</si>
  <si>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</si>
  <si>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</si>
  <si>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</si>
  <si>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</si>
  <si>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</si>
  <si>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</si>
  <si>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</si>
  <si>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</si>
  <si>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</si>
  <si>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</si>
  <si>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</si>
  <si>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</si>
  <si>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</si>
  <si>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</si>
  <si>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</si>
  <si>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</si>
  <si>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</si>
  <si>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</si>
  <si>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</si>
  <si>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</si>
  <si>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</si>
  <si>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</si>
  <si>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</si>
  <si>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</si>
  <si>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</si>
  <si>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</si>
  <si>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</si>
  <si>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</si>
  <si>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</si>
  <si>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</si>
  <si>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</si>
  <si>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</si>
  <si>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</si>
  <si>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</si>
  <si>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</si>
  <si>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</si>
  <si>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</si>
  <si>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</si>
  <si>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</si>
  <si>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</si>
  <si>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</si>
  <si>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</si>
  <si>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</si>
  <si>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</si>
  <si>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</si>
  <si>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</si>
  <si>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</si>
  <si>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</si>
  <si>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</si>
  <si>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</si>
  <si>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</si>
  <si>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</si>
  <si>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</si>
  <si>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</si>
  <si>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</si>
  <si>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</si>
  <si>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</si>
  <si>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</si>
  <si>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</si>
  <si>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</si>
  <si>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</si>
  <si>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</si>
  <si>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</si>
  <si>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</si>
  <si>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</si>
  <si>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</si>
  <si>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</si>
  <si>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</si>
  <si>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</si>
  <si>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</si>
  <si>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</si>
  <si>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</si>
  <si>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</si>
  <si>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</si>
  <si>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</si>
  <si>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</si>
  <si>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</si>
  <si>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</si>
  <si>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</si>
  <si>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</si>
  <si>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</si>
  <si>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</si>
  <si>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</si>
  <si>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</si>
  <si>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</si>
  <si>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</si>
  <si>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</si>
  <si>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</si>
  <si>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</si>
  <si>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</si>
  <si>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</si>
  <si>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</si>
  <si>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</si>
  <si>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</si>
  <si>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</si>
  <si>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</si>
  <si>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</si>
  <si>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</si>
  <si>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</si>
  <si>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</si>
  <si>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</si>
  <si>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</si>
  <si>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</si>
  <si>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</si>
  <si>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</si>
  <si>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</si>
  <si>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</si>
  <si>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</si>
  <si>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</si>
  <si>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</si>
  <si>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</si>
  <si>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</si>
  <si>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</si>
  <si>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</si>
  <si>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</si>
  <si>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</si>
  <si>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</si>
  <si>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</si>
  <si>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</si>
  <si>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</si>
  <si>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</si>
  <si>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</si>
  <si>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</si>
  <si>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</si>
  <si>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</si>
  <si>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</si>
  <si>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</si>
  <si>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</si>
  <si>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</si>
  <si>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</si>
  <si>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</si>
  <si>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</si>
  <si>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</si>
  <si>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</si>
  <si>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</si>
  <si>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</si>
  <si>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</si>
  <si>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</si>
  <si>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</si>
  <si>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</si>
  <si>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</si>
  <si>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</si>
  <si>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</si>
  <si>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</si>
  <si>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</si>
  <si>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</si>
  <si>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</si>
  <si>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</si>
  <si>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</si>
  <si>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</si>
  <si>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</si>
  <si>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</si>
  <si>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</si>
  <si>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</si>
  <si>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</si>
  <si>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</si>
  <si>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</si>
  <si>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</si>
  <si>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</si>
  <si>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</si>
  <si>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</si>
  <si>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</si>
  <si>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</si>
  <si>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</si>
  <si>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</si>
  <si>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</si>
  <si>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</si>
  <si>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</si>
  <si>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</si>
  <si>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</si>
  <si>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</si>
  <si>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</si>
  <si>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</si>
  <si>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</si>
  <si>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</si>
  <si>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</si>
  <si>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</si>
  <si>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</si>
  <si>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</si>
  <si>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</si>
  <si>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</si>
  <si>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</si>
  <si>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</si>
  <si>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</si>
  <si>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</si>
  <si>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</si>
  <si>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</si>
  <si>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</si>
  <si>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</si>
  <si>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</si>
  <si>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</si>
  <si>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</si>
  <si>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</si>
  <si>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</si>
  <si>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</si>
  <si>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</si>
  <si>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</si>
  <si>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</si>
  <si>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</si>
  <si>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</si>
  <si>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</si>
  <si>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</si>
  <si>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</si>
  <si>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</si>
  <si>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</si>
  <si>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</si>
  <si>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</si>
  <si>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</si>
  <si>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</si>
  <si>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</si>
  <si>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</si>
  <si>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</si>
  <si>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</si>
  <si>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</si>
  <si>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</si>
  <si>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</si>
  <si>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</si>
  <si>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</si>
  <si>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</si>
  <si>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</si>
  <si>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</si>
  <si>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</si>
  <si>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</si>
  <si>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</si>
  <si>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</si>
  <si>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</si>
  <si>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</si>
  <si>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</si>
  <si>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</si>
  <si>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</si>
  <si>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</si>
  <si>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</si>
  <si>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</si>
  <si>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</si>
  <si>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</si>
  <si>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</si>
  <si>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</si>
  <si>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</si>
  <si>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</si>
  <si>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</si>
  <si>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</si>
  <si>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</si>
  <si>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</si>
  <si>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</si>
  <si>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</si>
  <si>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</si>
  <si>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</si>
  <si>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</si>
  <si>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</si>
  <si>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</si>
  <si>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</si>
  <si>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</si>
  <si>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</si>
  <si>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</si>
  <si>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</si>
  <si>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</si>
  <si>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</si>
  <si>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</si>
  <si>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</si>
  <si>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</si>
  <si>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</si>
  <si>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</si>
  <si>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</si>
  <si>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</si>
  <si>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</si>
  <si>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</si>
  <si>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</si>
  <si>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</si>
  <si>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</si>
  <si>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</si>
  <si>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</si>
  <si>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</si>
  <si>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</si>
  <si>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</si>
  <si>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</si>
  <si>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</si>
  <si>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</si>
  <si>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</si>
  <si>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</si>
  <si>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</si>
  <si>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</si>
  <si>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</si>
  <si>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</si>
  <si>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</si>
  <si>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</si>
  <si>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</si>
  <si>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</si>
  <si>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</si>
  <si>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</si>
  <si>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</si>
  <si>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</si>
  <si>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</si>
  <si>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</si>
  <si>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</si>
  <si>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</si>
  <si>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</si>
  <si>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</si>
  <si>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</si>
  <si>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</si>
  <si>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</si>
  <si>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</si>
  <si>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</si>
  <si>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</si>
  <si>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</si>
  <si>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</si>
  <si>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</si>
  <si>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</si>
  <si>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</si>
  <si>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</si>
  <si>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</si>
  <si>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</si>
  <si>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</si>
  <si>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</si>
  <si>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</si>
  <si>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</si>
  <si>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</si>
  <si>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</si>
  <si>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</si>
  <si>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</si>
  <si>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</si>
  <si>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</si>
  <si>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</si>
  <si>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</si>
  <si>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</si>
  <si>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</si>
  <si>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</si>
  <si>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</si>
  <si>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</si>
  <si>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</si>
  <si>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</si>
  <si>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</si>
  <si>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</si>
  <si>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</si>
  <si>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</si>
  <si>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</si>
  <si>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</si>
  <si>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</si>
  <si>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</si>
  <si>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</si>
  <si>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</si>
  <si>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</si>
  <si>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</si>
  <si>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</si>
  <si>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</si>
  <si>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</si>
  <si>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</si>
  <si>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</si>
  <si>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</si>
  <si>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</si>
  <si>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</si>
  <si>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</si>
  <si>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</si>
  <si>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</si>
  <si>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</si>
  <si>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</si>
  <si>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</si>
  <si>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</si>
  <si>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</si>
  <si>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</si>
  <si>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</si>
  <si>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</si>
  <si>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</si>
  <si>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</si>
  <si>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</si>
  <si>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</si>
  <si>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</si>
  <si>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</si>
  <si>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</si>
  <si>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</si>
  <si>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</si>
  <si>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</si>
  <si>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</si>
  <si>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</si>
  <si>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</si>
  <si>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</si>
  <si>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</si>
  <si>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</si>
  <si>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</si>
  <si>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</si>
  <si>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</si>
  <si>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</si>
  <si>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</si>
  <si>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</si>
  <si>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</si>
  <si>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</si>
  <si>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</si>
  <si>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</si>
  <si>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</si>
  <si>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</si>
  <si>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</si>
  <si>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</si>
  <si>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</si>
  <si>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</si>
  <si>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</si>
  <si>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</si>
  <si>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</si>
  <si>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</si>
  <si>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</si>
  <si>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</si>
  <si>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</si>
  <si>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</si>
  <si>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</si>
  <si>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</si>
  <si>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</si>
  <si>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</si>
  <si>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</si>
  <si>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</si>
  <si>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</si>
  <si>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</si>
  <si>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</si>
  <si>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</si>
  <si>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</si>
  <si>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</si>
  <si>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</si>
  <si>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</si>
  <si>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</si>
  <si>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</si>
  <si>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</si>
  <si>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</si>
  <si>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</si>
  <si>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</si>
  <si>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</si>
  <si>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</si>
  <si>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</si>
  <si>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</si>
  <si>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</si>
  <si>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</si>
  <si>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</si>
  <si>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</si>
  <si>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</si>
  <si>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</si>
  <si>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</si>
  <si>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</si>
  <si>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</si>
  <si>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</si>
  <si>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</si>
  <si>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</si>
  <si>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</si>
  <si>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</si>
  <si>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</si>
  <si>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</si>
  <si>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</si>
  <si>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</si>
  <si>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</si>
  <si>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</si>
  <si>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</si>
  <si>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</si>
  <si>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</si>
  <si>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</si>
  <si>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</si>
  <si>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</si>
  <si>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</si>
  <si>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</si>
  <si>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</si>
  <si>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</si>
  <si>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</si>
  <si>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</si>
  <si>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</si>
  <si>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</si>
  <si>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</si>
  <si>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</si>
  <si>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</si>
  <si>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</si>
  <si>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</si>
  <si>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</si>
  <si>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</si>
  <si>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</si>
  <si>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</si>
  <si>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</si>
  <si>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</si>
  <si>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</si>
  <si>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</si>
  <si>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</si>
  <si>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</si>
  <si>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</si>
  <si>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</si>
  <si>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</si>
  <si>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</si>
  <si>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</si>
  <si>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</si>
  <si>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</si>
  <si>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</si>
  <si>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</si>
  <si>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</si>
  <si>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</si>
  <si>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</si>
  <si>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</si>
  <si>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</si>
  <si>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</si>
  <si>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</si>
  <si>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</si>
  <si>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</si>
  <si>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</si>
  <si>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</si>
  <si>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</si>
  <si>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</si>
  <si>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</si>
  <si>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</si>
  <si>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</si>
  <si>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</si>
  <si>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</si>
  <si>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</si>
  <si>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</si>
  <si>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</si>
  <si>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</si>
  <si>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</si>
  <si>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</si>
  <si>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</si>
  <si>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</si>
  <si>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</si>
  <si>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</si>
  <si>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</si>
  <si>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</si>
  <si>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</si>
  <si>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</si>
  <si>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</si>
  <si>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</si>
  <si>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</si>
  <si>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</si>
  <si>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</si>
  <si>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</si>
  <si>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</si>
  <si>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</si>
  <si>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</si>
  <si>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</si>
  <si>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</si>
  <si>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</si>
  <si>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</si>
  <si>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</si>
  <si>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</si>
  <si>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</si>
  <si>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</si>
  <si>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</si>
  <si>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</si>
  <si>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</si>
  <si>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</si>
  <si>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</si>
  <si>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</si>
  <si>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</si>
  <si>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</si>
  <si>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</si>
  <si>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</si>
  <si>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</si>
  <si>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</si>
  <si>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</si>
  <si>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</si>
  <si>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</si>
  <si>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</si>
  <si>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</si>
  <si>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</si>
  <si>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</si>
  <si>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</si>
  <si>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</si>
  <si>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</si>
  <si>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</si>
  <si>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</si>
  <si>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</si>
  <si>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</si>
  <si>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</si>
  <si>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</si>
  <si>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</si>
  <si>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</si>
  <si>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</si>
  <si>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</si>
  <si>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</si>
  <si>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</si>
  <si>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</si>
  <si>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</si>
  <si>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</si>
  <si>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</si>
  <si>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</si>
  <si>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</si>
  <si>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</si>
  <si>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</si>
  <si>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</si>
  <si>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</si>
  <si>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</si>
  <si>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</si>
  <si>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</si>
  <si>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</si>
  <si>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</si>
  <si>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</si>
  <si>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</si>
  <si>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</si>
  <si>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</si>
  <si>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</si>
  <si>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</si>
  <si>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</si>
  <si>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</si>
  <si>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</si>
  <si>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</si>
  <si>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</si>
  <si>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</si>
  <si>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</si>
  <si>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</si>
  <si>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</si>
  <si>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</si>
  <si>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</si>
  <si>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</si>
  <si>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</si>
  <si>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</si>
  <si>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</si>
  <si>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</si>
  <si>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</si>
  <si>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</si>
  <si>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</si>
  <si>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</si>
  <si>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</si>
  <si>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</si>
  <si>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</si>
  <si>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</si>
  <si>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</si>
  <si>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</si>
  <si>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</si>
  <si>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</si>
  <si>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</si>
  <si>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</si>
  <si>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</si>
  <si>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</si>
  <si>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</si>
  <si>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</si>
  <si>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</si>
  <si>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</si>
  <si>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</si>
  <si>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</si>
  <si>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</si>
  <si>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</si>
  <si>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</si>
  <si>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</si>
  <si>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</si>
  <si>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</si>
  <si>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</si>
  <si>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</si>
  <si>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</si>
  <si>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</si>
  <si>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</si>
  <si>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</si>
  <si>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</si>
  <si>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</si>
  <si>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</si>
  <si>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</si>
  <si>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</si>
  <si>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</si>
  <si>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</si>
  <si>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</si>
  <si>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</si>
  <si>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</si>
  <si>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</si>
  <si>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</si>
  <si>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</si>
  <si>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</si>
  <si>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</si>
  <si>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</si>
  <si>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</si>
  <si>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</si>
  <si>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</si>
  <si>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</si>
  <si>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</si>
  <si>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</si>
  <si>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</si>
  <si>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</si>
  <si>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</si>
  <si>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</si>
  <si>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</si>
  <si>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</si>
  <si>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</si>
  <si>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</si>
  <si>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</si>
  <si>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</si>
  <si>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</si>
  <si>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</si>
  <si>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</si>
  <si>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</si>
  <si>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</si>
  <si>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</si>
  <si>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</si>
  <si>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</si>
  <si>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</si>
  <si>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</si>
  <si>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</si>
  <si>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</si>
  <si>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</si>
  <si>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</si>
  <si>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</si>
  <si>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</si>
  <si>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</si>
  <si>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</si>
  <si>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</si>
  <si>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</si>
  <si>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</si>
  <si>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</si>
  <si>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</si>
  <si>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</si>
  <si>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</si>
  <si>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</si>
  <si>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</si>
  <si>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</si>
  <si>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</si>
  <si>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</si>
  <si>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</si>
  <si>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</si>
  <si>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</si>
  <si>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</si>
  <si>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</si>
  <si>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</si>
  <si>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</si>
  <si>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</si>
  <si>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</si>
  <si>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</si>
  <si>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</si>
  <si>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</si>
  <si>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</si>
  <si>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</si>
  <si>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</si>
  <si>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</si>
  <si>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</si>
  <si>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</si>
  <si>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</si>
  <si>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</si>
  <si>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</si>
  <si>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</si>
  <si>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</si>
  <si>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</si>
  <si>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</si>
  <si>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</si>
  <si>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</si>
  <si>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</si>
  <si>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</si>
  <si>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</si>
  <si>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</si>
  <si>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</si>
  <si>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</si>
  <si>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</si>
  <si>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</si>
  <si>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</si>
  <si>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</si>
  <si>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</si>
  <si>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</si>
  <si>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</si>
  <si>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</si>
  <si>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</si>
  <si>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</si>
  <si>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</si>
  <si>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</si>
  <si>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</si>
  <si>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</si>
  <si>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</si>
  <si>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</si>
  <si>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</si>
  <si>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</si>
  <si>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</si>
  <si>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</si>
  <si>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</si>
  <si>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</si>
  <si>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</si>
  <si>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</si>
  <si>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</si>
  <si>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</si>
  <si>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</si>
  <si>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</si>
  <si>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</si>
  <si>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</si>
  <si>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</si>
  <si>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</si>
  <si>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</si>
  <si>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</si>
  <si>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</si>
  <si>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</si>
  <si>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</si>
  <si>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</si>
  <si>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</si>
  <si>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</si>
  <si>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</si>
  <si>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</si>
  <si>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</si>
  <si>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</si>
  <si>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</si>
  <si>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</si>
  <si>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</si>
  <si>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</si>
  <si>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</si>
  <si>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</si>
  <si>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</si>
  <si>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</si>
  <si>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</si>
  <si>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</si>
  <si>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</si>
  <si>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</si>
  <si>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</si>
  <si>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</si>
  <si>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</si>
  <si>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</si>
  <si>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</si>
  <si>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</si>
  <si>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</si>
  <si>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</si>
  <si>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</si>
  <si>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</si>
  <si>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</si>
  <si>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</si>
  <si>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</si>
  <si>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</si>
  <si>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</si>
  <si>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</si>
  <si>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</si>
  <si>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</si>
  <si>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</si>
  <si>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</si>
  <si>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</si>
  <si>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</si>
  <si>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</si>
  <si>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</si>
  <si>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</si>
  <si>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</si>
  <si>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</si>
  <si>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</si>
  <si>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</si>
  <si>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</si>
  <si>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</si>
  <si>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</si>
  <si>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</si>
  <si>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</si>
  <si>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</si>
  <si>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</si>
  <si>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</si>
  <si>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</si>
  <si>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</si>
  <si>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</si>
  <si>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</si>
  <si>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</si>
  <si>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</si>
  <si>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</si>
  <si>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</si>
  <si>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</si>
  <si>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</si>
  <si>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</si>
  <si>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</si>
  <si>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</si>
  <si>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</si>
  <si>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</si>
  <si>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</si>
  <si>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</si>
  <si>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</si>
  <si>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</si>
  <si>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</si>
  <si>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</si>
  <si>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</si>
  <si>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</si>
  <si>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</si>
  <si>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</si>
  <si>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</si>
  <si>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</si>
  <si>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</si>
  <si>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</si>
  <si>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</si>
  <si>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</si>
  <si>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</si>
  <si>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</si>
  <si>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</si>
  <si>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</si>
  <si>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</si>
  <si>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</si>
  <si>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</si>
  <si>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</si>
  <si>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</si>
  <si>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</si>
  <si>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</si>
  <si>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</si>
  <si>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</si>
  <si>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</si>
  <si>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</si>
  <si>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</si>
  <si>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</si>
  <si>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</si>
  <si>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</si>
  <si>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</si>
  <si>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</si>
  <si>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</si>
  <si>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</si>
  <si>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</si>
  <si>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</si>
  <si>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</si>
  <si>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</si>
  <si>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</si>
  <si>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</si>
  <si>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</si>
  <si>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</si>
  <si>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</si>
  <si>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</si>
  <si>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</si>
  <si>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</si>
  <si>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</si>
  <si>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</si>
  <si>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</si>
  <si>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</si>
  <si>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</si>
  <si>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</si>
  <si>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</si>
  <si>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</si>
  <si>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</si>
  <si>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</si>
  <si>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</si>
  <si>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</si>
  <si>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</si>
  <si>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</si>
  <si>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</si>
  <si>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</si>
  <si>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</si>
  <si>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</si>
  <si>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</si>
  <si>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</si>
  <si>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</si>
  <si>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</si>
  <si>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</si>
  <si>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</si>
  <si>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</si>
  <si>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</si>
  <si>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</si>
  <si>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</si>
  <si>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</si>
  <si>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</si>
  <si>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</si>
  <si>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</si>
  <si>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</si>
  <si>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</si>
  <si>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</si>
  <si>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</si>
  <si>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</si>
  <si>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</si>
  <si>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</si>
  <si>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</si>
  <si>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</si>
  <si>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</si>
  <si>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</si>
  <si>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</si>
  <si>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</si>
  <si>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</si>
  <si>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</si>
  <si>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</si>
  <si>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</si>
  <si>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</si>
  <si>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</si>
  <si>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</si>
  <si>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</si>
  <si>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</si>
  <si>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</si>
  <si>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</si>
  <si>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</si>
  <si>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</si>
  <si>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</si>
  <si>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</si>
  <si>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</si>
  <si>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</si>
  <si>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</si>
  <si>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</si>
  <si>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</si>
  <si>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</si>
  <si>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</si>
  <si>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</si>
  <si>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</si>
  <si>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</si>
  <si>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</si>
  <si>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</si>
  <si>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</si>
  <si>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</si>
  <si>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</si>
  <si>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</si>
  <si>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</si>
  <si>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</si>
  <si>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</si>
  <si>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</si>
  <si>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</si>
  <si>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</si>
  <si>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</si>
  <si>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</si>
  <si>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</si>
  <si>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</si>
  <si>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</si>
  <si>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</si>
  <si>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</si>
  <si>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</si>
  <si>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</si>
  <si>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</si>
  <si>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</si>
  <si>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</si>
  <si>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</si>
  <si>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</si>
  <si>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</si>
  <si>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</si>
  <si>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</si>
  <si>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</si>
  <si>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</si>
  <si>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</si>
  <si>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</si>
  <si>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</si>
  <si>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</si>
  <si>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</si>
  <si>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</si>
  <si>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</si>
  <si>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</si>
  <si>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</si>
  <si>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</si>
  <si>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</si>
  <si>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</si>
  <si>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</si>
  <si>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</si>
  <si>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</si>
  <si>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</si>
  <si>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</si>
  <si>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</si>
  <si>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</si>
  <si>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</si>
  <si>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</si>
  <si>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</si>
  <si>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</si>
  <si>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</si>
  <si>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</si>
  <si>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</si>
  <si>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</si>
  <si>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</si>
  <si>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</si>
  <si>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</si>
  <si>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</si>
  <si>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</si>
  <si>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</si>
  <si>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</si>
  <si>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</si>
  <si>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</si>
  <si>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</si>
  <si>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</si>
  <si>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</si>
  <si>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</si>
  <si>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</si>
  <si>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</si>
  <si>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</si>
  <si>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</si>
  <si>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</si>
  <si>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</si>
  <si>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</si>
  <si>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</si>
  <si>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</si>
  <si>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</si>
  <si>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</si>
  <si>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</si>
  <si>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</si>
  <si>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</si>
  <si>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</si>
  <si>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</si>
  <si>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</si>
  <si>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</si>
  <si>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</si>
  <si>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</si>
  <si>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</si>
  <si>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</si>
  <si>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</si>
  <si>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</si>
  <si>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</si>
  <si>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</si>
  <si>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</si>
  <si>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</si>
  <si>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</si>
  <si>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</si>
  <si>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</si>
  <si>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</si>
  <si>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</si>
  <si>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</si>
  <si>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</si>
  <si>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</si>
  <si>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</si>
  <si>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</si>
  <si>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</si>
  <si>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</si>
  <si>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</si>
  <si>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</si>
  <si>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</si>
  <si>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</si>
  <si>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</si>
  <si>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</si>
  <si>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</si>
  <si>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</si>
  <si>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</si>
  <si>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</si>
  <si>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</si>
  <si>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</si>
  <si>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</si>
  <si>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</si>
  <si>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</si>
  <si>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</si>
  <si>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</si>
  <si>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</si>
  <si>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</si>
  <si>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</si>
  <si>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</si>
  <si>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</si>
  <si>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</si>
  <si>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</si>
  <si>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</si>
  <si>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</si>
  <si>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</si>
  <si>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</si>
  <si>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</si>
  <si>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</si>
  <si>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</si>
  <si>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</si>
  <si>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</si>
  <si>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</si>
  <si>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</si>
  <si>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</si>
  <si>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</si>
  <si>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</si>
  <si>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</si>
  <si>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</si>
  <si>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</si>
  <si>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</si>
  <si>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</si>
  <si>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</si>
  <si>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</si>
  <si>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</si>
  <si>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</si>
  <si>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</si>
  <si>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</si>
  <si>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</si>
  <si>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</si>
  <si>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</si>
  <si>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</si>
  <si>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</si>
  <si>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</si>
  <si>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</si>
  <si>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</si>
  <si>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</si>
  <si>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</si>
  <si>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</si>
  <si>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</si>
  <si>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</si>
  <si>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</si>
  <si>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</si>
  <si>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</si>
  <si>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</si>
  <si>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</si>
  <si>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</si>
  <si>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</si>
  <si>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</si>
  <si>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</si>
  <si>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</si>
  <si>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</si>
  <si>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</si>
  <si>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</si>
  <si>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</si>
  <si>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</si>
  <si>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</si>
  <si>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</si>
  <si>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</si>
  <si>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</si>
  <si>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</si>
  <si>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</si>
  <si>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</si>
  <si>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</si>
  <si>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</si>
  <si>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</si>
  <si>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</si>
  <si>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</si>
  <si>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</si>
  <si>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</si>
  <si>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</si>
  <si>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</si>
  <si>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</si>
  <si>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</si>
  <si>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</si>
  <si>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</si>
  <si>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</si>
  <si>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</si>
  <si>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</si>
  <si>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</si>
  <si>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</si>
  <si>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</si>
  <si>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</si>
  <si>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</si>
  <si>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</si>
  <si>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</si>
  <si>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</si>
  <si>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</si>
  <si>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</si>
  <si>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</si>
  <si>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</si>
  <si>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</si>
  <si>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</si>
  <si>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</si>
  <si>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</si>
  <si>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</si>
  <si>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</si>
  <si>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</si>
  <si>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</si>
  <si>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</si>
  <si>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</si>
  <si>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</si>
  <si>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</si>
  <si>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</si>
  <si>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</si>
  <si>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</si>
  <si>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</si>
  <si>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</si>
  <si>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</si>
  <si>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</si>
  <si>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</si>
  <si>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</si>
  <si>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</si>
  <si>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</si>
  <si>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</si>
  <si>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</si>
  <si>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</si>
  <si>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</si>
  <si>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</si>
  <si>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</si>
  <si>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</si>
  <si>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</si>
  <si>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</si>
  <si>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</si>
  <si>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</si>
  <si>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</si>
  <si>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</si>
  <si>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</si>
  <si>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</si>
  <si>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</si>
  <si>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</si>
  <si>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</si>
  <si>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</si>
  <si>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</si>
  <si>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</si>
  <si>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</si>
  <si>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</si>
  <si>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</si>
  <si>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</si>
  <si>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</si>
  <si>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</si>
  <si>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</si>
  <si>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</si>
  <si>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</si>
  <si>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</si>
  <si>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</si>
  <si>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</si>
  <si>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</si>
  <si>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</si>
  <si>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</si>
  <si>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</si>
  <si>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</si>
  <si>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</si>
  <si>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</si>
  <si>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</si>
  <si>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</si>
  <si>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</si>
  <si>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</si>
  <si>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</si>
  <si>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</si>
  <si>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</si>
  <si>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</si>
  <si>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</si>
  <si>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</si>
  <si>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</si>
  <si>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</si>
  <si>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</si>
  <si>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</si>
  <si>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</si>
  <si>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</si>
  <si>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</si>
  <si>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</si>
  <si>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</si>
  <si>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</si>
  <si>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</si>
  <si>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</si>
  <si>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</si>
  <si>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</si>
  <si>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</si>
  <si>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</si>
  <si>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</si>
  <si>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</si>
  <si>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</si>
  <si>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</si>
  <si>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</si>
  <si>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</si>
  <si>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</si>
  <si>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</si>
  <si>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</si>
  <si>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</si>
  <si>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</si>
  <si>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</si>
  <si>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</si>
  <si>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</si>
  <si>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</si>
  <si>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</si>
  <si>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</si>
  <si>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</si>
  <si>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</si>
  <si>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</si>
  <si>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</si>
  <si>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</si>
  <si>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</si>
  <si>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</si>
  <si>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</si>
  <si>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</si>
  <si>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</si>
  <si>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</si>
  <si>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</si>
  <si>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</si>
  <si>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</si>
  <si>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</si>
  <si>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</si>
  <si>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</si>
  <si>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</si>
  <si>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</si>
  <si>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</si>
  <si>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</si>
  <si>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</si>
  <si>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</si>
  <si>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</si>
  <si>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</si>
  <si>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</si>
  <si>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</si>
  <si>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</si>
  <si>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</si>
  <si>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</si>
  <si>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</si>
  <si>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</si>
  <si>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</si>
  <si>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</si>
  <si>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</si>
  <si>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</si>
  <si>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</si>
  <si>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</si>
  <si>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</si>
  <si>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</si>
  <si>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</si>
  <si>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</si>
  <si>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</si>
  <si>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</si>
  <si>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</si>
  <si>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</si>
  <si>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</si>
  <si>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</si>
  <si>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</si>
  <si>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</si>
  <si>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</si>
  <si>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</si>
  <si>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</si>
  <si>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</si>
  <si>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</si>
  <si>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</si>
  <si>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</si>
  <si>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</si>
  <si>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</si>
  <si>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</si>
  <si>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</si>
  <si>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</si>
  <si>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</si>
  <si>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</si>
  <si>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</si>
  <si>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</si>
  <si>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</si>
  <si>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</si>
  <si>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</si>
  <si>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</si>
  <si>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</si>
  <si>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</si>
  <si>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</si>
  <si>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</si>
  <si>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</si>
  <si>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</si>
  <si>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</si>
  <si>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</si>
  <si>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</si>
  <si>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</si>
  <si>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</si>
  <si>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</si>
  <si>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</si>
  <si>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</si>
  <si>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</si>
  <si>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</si>
  <si>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</si>
  <si>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</si>
  <si>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</si>
  <si>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</si>
  <si>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</si>
  <si>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</si>
  <si>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</si>
  <si>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</si>
  <si>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</si>
  <si>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</si>
  <si>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</si>
  <si>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</si>
  <si>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</si>
  <si>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</si>
  <si>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</si>
  <si>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</si>
  <si>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</si>
  <si>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</si>
  <si>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</si>
  <si>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</si>
  <si>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</si>
  <si>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</si>
  <si>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</si>
  <si>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</si>
  <si>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</si>
  <si>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</si>
  <si>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</si>
  <si>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</si>
  <si>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</si>
  <si>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</si>
  <si>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</si>
  <si>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</si>
  <si>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</si>
  <si>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</si>
  <si>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</si>
  <si>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</si>
  <si>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</si>
  <si>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</si>
  <si>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</si>
  <si>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</si>
  <si>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</si>
  <si>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</si>
  <si>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</si>
  <si>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</si>
  <si>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</si>
  <si>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</si>
  <si>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</si>
  <si>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</si>
  <si>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</si>
  <si>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</si>
  <si>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</si>
  <si>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</si>
  <si>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</si>
  <si>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</si>
  <si>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</si>
  <si>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</si>
  <si>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</si>
  <si>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</si>
  <si>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</si>
  <si>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</si>
  <si>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</si>
  <si>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</si>
  <si>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</si>
  <si>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</si>
  <si>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</si>
  <si>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</si>
  <si>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</si>
  <si>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</si>
  <si>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</si>
  <si>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</si>
  <si>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</si>
  <si>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</si>
  <si>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</si>
  <si>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</si>
  <si>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</si>
  <si>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</si>
  <si>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</si>
  <si>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</si>
  <si>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</si>
  <si>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</si>
  <si>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</si>
  <si>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</si>
  <si>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</si>
  <si>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</si>
  <si>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</si>
  <si>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</si>
  <si>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</si>
  <si>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</si>
  <si>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</si>
  <si>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</si>
  <si>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</si>
  <si>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</si>
  <si>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</si>
  <si>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</si>
  <si>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</si>
  <si>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</si>
  <si>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</si>
  <si>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</si>
  <si>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</si>
  <si>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</si>
  <si>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</si>
  <si>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</si>
  <si>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</si>
  <si>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</si>
  <si>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</si>
  <si>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</si>
  <si>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</si>
  <si>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</si>
  <si>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</si>
  <si>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</si>
  <si>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</si>
  <si>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</si>
  <si>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</si>
  <si>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</si>
  <si>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</si>
  <si>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</si>
  <si>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</si>
  <si>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</si>
  <si>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</si>
  <si>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</si>
  <si>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</si>
  <si>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</si>
  <si>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</si>
  <si>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</si>
  <si>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</si>
  <si>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</si>
  <si>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</si>
  <si>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</si>
  <si>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</si>
  <si>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</si>
  <si>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</si>
  <si>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</si>
  <si>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</si>
  <si>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</si>
  <si>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</si>
  <si>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</si>
  <si>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</si>
  <si>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</si>
  <si>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</si>
  <si>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</si>
  <si>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</si>
  <si>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</si>
  <si>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</si>
  <si>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</si>
  <si>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</si>
  <si>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</si>
  <si>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</si>
  <si>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</si>
  <si>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</si>
  <si>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</si>
  <si>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</si>
  <si>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</si>
  <si>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</si>
  <si>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</si>
  <si>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</si>
  <si>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</si>
  <si>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</si>
  <si>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</si>
  <si>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</si>
  <si>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</si>
  <si>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</si>
  <si>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</si>
  <si>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</si>
  <si>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</si>
  <si>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</si>
  <si>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</si>
  <si>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</si>
  <si>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</si>
  <si>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</si>
  <si>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</si>
  <si>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</si>
  <si>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</si>
  <si>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</si>
  <si>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</si>
  <si>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</si>
  <si>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</si>
  <si>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</si>
  <si>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</si>
  <si>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</si>
  <si>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</si>
  <si>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</si>
  <si>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</si>
  <si>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</si>
  <si>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</si>
  <si>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</si>
  <si>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</si>
  <si>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</si>
  <si>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</si>
  <si>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</si>
  <si>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</si>
  <si>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</si>
  <si>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</si>
  <si>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</si>
  <si>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</si>
  <si>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</si>
  <si>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</si>
  <si>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</si>
  <si>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</si>
  <si>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</si>
  <si>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</si>
  <si>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</si>
  <si>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</si>
  <si>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</si>
  <si>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</si>
  <si>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</si>
  <si>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</si>
  <si>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</si>
  <si>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</si>
  <si>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</si>
  <si>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</si>
  <si>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</si>
  <si>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</si>
  <si>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</si>
  <si>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</si>
  <si>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</si>
  <si>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</si>
  <si>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</si>
  <si>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</si>
  <si>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</si>
  <si>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</si>
  <si>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</si>
  <si>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</si>
  <si>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</si>
  <si>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</si>
  <si>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</si>
  <si>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</si>
  <si>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</si>
  <si>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</si>
  <si>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</si>
  <si>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</si>
  <si>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</si>
  <si>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</si>
  <si>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</si>
  <si>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</si>
  <si>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</si>
  <si>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</si>
  <si>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</si>
  <si>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</si>
  <si>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</si>
  <si>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</si>
  <si>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</si>
  <si>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</si>
  <si>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</si>
  <si>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</si>
  <si>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</si>
  <si>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</si>
  <si>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</si>
  <si>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</si>
  <si>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</si>
  <si>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</si>
  <si>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</si>
  <si>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</si>
  <si>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</si>
  <si>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</si>
  <si>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</si>
  <si>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</si>
  <si>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</si>
  <si>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</si>
  <si>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</si>
  <si>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</si>
  <si>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</si>
  <si>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</si>
  <si>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</si>
  <si>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</si>
  <si>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</si>
  <si>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</si>
  <si>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</si>
  <si>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</si>
  <si>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</si>
  <si>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</si>
  <si>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</si>
  <si>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</si>
  <si>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</si>
  <si>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</si>
  <si>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</si>
  <si>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</si>
  <si>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</si>
  <si>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</si>
  <si>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</si>
  <si>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</si>
  <si>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</si>
  <si>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</si>
  <si>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</si>
  <si>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</si>
  <si>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</si>
  <si>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</si>
  <si>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</si>
  <si>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</si>
  <si>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</si>
  <si>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</si>
  <si>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</si>
  <si>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</si>
  <si>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</si>
  <si>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</si>
  <si>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</si>
  <si>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</si>
  <si>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</si>
  <si>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</si>
  <si>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</si>
  <si>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</si>
  <si>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</si>
  <si>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</si>
  <si>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</si>
  <si>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</si>
  <si>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</si>
  <si>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</si>
  <si>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</si>
  <si>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</si>
  <si>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</si>
  <si>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</si>
  <si>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</si>
  <si>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</si>
  <si>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</si>
  <si>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</si>
  <si>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</si>
  <si>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</si>
  <si>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</si>
  <si>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</si>
  <si>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</si>
  <si>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</si>
  <si>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</si>
  <si>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</si>
  <si>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</si>
  <si>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</si>
  <si>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</si>
  <si>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</si>
  <si>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</si>
  <si>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</si>
  <si>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</si>
  <si>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</si>
  <si>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</si>
  <si>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</si>
  <si>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</si>
  <si>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</si>
  <si>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</si>
  <si>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</si>
  <si>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</si>
  <si>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</si>
  <si>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</si>
  <si>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</si>
  <si>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</si>
  <si>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</si>
  <si>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</si>
  <si>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</si>
  <si>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</si>
  <si>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</si>
  <si>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</si>
  <si>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</si>
  <si>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</si>
  <si>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</si>
  <si>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</si>
  <si>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</si>
  <si>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</si>
  <si>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</si>
  <si>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</si>
  <si>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</si>
  <si>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</si>
  <si>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</si>
  <si>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</si>
  <si>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</si>
  <si>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</si>
  <si>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</si>
  <si>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</si>
  <si>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</si>
  <si>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</si>
  <si>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</si>
  <si>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</si>
  <si>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</si>
  <si>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</si>
  <si>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</si>
  <si>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</si>
  <si>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</si>
  <si>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</si>
  <si>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</si>
  <si>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</si>
  <si>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</si>
  <si>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</si>
  <si>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</si>
  <si>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</si>
  <si>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</si>
  <si>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</si>
  <si>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</si>
  <si>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</si>
  <si>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</si>
  <si>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</si>
  <si>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</si>
  <si>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</si>
  <si>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</si>
  <si>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</si>
  <si>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</si>
  <si>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</si>
  <si>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</si>
  <si>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</si>
  <si>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</si>
  <si>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</si>
  <si>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</si>
  <si>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</si>
  <si>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</si>
  <si>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</si>
  <si>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</si>
  <si>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</si>
  <si>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</si>
  <si>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</si>
  <si>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</si>
  <si>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</si>
  <si>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</si>
  <si>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</si>
  <si>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</si>
  <si>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</si>
  <si>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</si>
  <si>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</si>
  <si>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</si>
  <si>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</si>
  <si>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</si>
  <si>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</si>
  <si>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</si>
  <si>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</si>
  <si>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</si>
  <si>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</si>
  <si>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</si>
  <si>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</si>
  <si>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</si>
  <si>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</si>
  <si>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</si>
  <si>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</si>
  <si>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</si>
  <si>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</si>
  <si>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</si>
  <si>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</si>
  <si>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</si>
  <si>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</si>
  <si>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</si>
  <si>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</si>
  <si>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</si>
  <si>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</si>
  <si>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</si>
  <si>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</si>
  <si>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</si>
  <si>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</si>
  <si>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</si>
  <si>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</si>
  <si>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</si>
  <si>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</si>
  <si>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</si>
  <si>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</si>
  <si>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</si>
  <si>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</si>
  <si>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</si>
  <si>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</si>
  <si>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</si>
  <si>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</si>
  <si>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</si>
  <si>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</si>
  <si>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</si>
  <si>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</si>
  <si>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</si>
  <si>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</si>
  <si>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</si>
  <si>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</si>
  <si>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</si>
  <si>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</si>
  <si>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</si>
  <si>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</si>
  <si>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</si>
  <si>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</si>
  <si>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</si>
  <si>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</si>
  <si>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</si>
  <si>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</si>
  <si>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</si>
  <si>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</si>
  <si>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</si>
  <si>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</si>
  <si>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</si>
  <si>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</si>
  <si>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</si>
  <si>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</si>
  <si>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</si>
  <si>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</si>
  <si>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</si>
  <si>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</si>
  <si>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</si>
  <si>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</si>
  <si>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</si>
  <si>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</si>
  <si>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</si>
  <si>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</si>
  <si>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</si>
  <si>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</si>
  <si>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</si>
  <si>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</si>
  <si>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</si>
  <si>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</si>
  <si>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</si>
  <si>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</si>
  <si>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</si>
  <si>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</si>
  <si>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</si>
  <si>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</si>
  <si>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</si>
  <si>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</si>
  <si>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</si>
  <si>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</si>
  <si>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</si>
  <si>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</si>
  <si>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</si>
  <si>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</si>
  <si>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</si>
  <si>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</si>
  <si>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</si>
  <si>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</si>
  <si>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</si>
  <si>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</si>
  <si>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</si>
  <si>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</si>
  <si>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</si>
  <si>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</si>
  <si>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</si>
  <si>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</si>
  <si>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</si>
  <si>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</si>
  <si>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</si>
  <si>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</si>
  <si>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</si>
  <si>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</si>
  <si>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</si>
  <si>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</si>
  <si>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</si>
  <si>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</si>
  <si>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</si>
  <si>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</si>
  <si>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</si>
  <si>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</si>
  <si>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</si>
  <si>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</si>
  <si>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</si>
  <si>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</si>
  <si>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</si>
  <si>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</si>
  <si>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</si>
  <si>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</si>
  <si>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</si>
  <si>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</si>
  <si>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</si>
  <si>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</si>
  <si>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</si>
  <si>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</si>
  <si>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</si>
  <si>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</si>
  <si>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</si>
  <si>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</si>
  <si>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</si>
  <si>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</si>
  <si>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</si>
  <si>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</si>
  <si>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</si>
  <si>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</si>
  <si>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</si>
  <si>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</si>
  <si>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</si>
  <si>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</si>
  <si>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</si>
  <si>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</si>
  <si>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</si>
  <si>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</si>
  <si>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</si>
  <si>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</si>
  <si>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</si>
  <si>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</si>
  <si>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</si>
  <si>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</si>
  <si>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</si>
  <si>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</si>
  <si>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</si>
  <si>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</si>
  <si>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</si>
  <si>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</si>
  <si>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</si>
  <si>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</si>
  <si>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</si>
  <si>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</si>
  <si>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</si>
  <si>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</si>
  <si>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</si>
  <si>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</si>
  <si>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</si>
  <si>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</si>
  <si>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</si>
  <si>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</si>
  <si>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</si>
  <si>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</si>
  <si>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</si>
  <si>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</si>
  <si>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</si>
  <si>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</si>
  <si>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</si>
  <si>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</si>
  <si>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</si>
  <si>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</si>
  <si>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</si>
  <si>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</si>
  <si>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</si>
  <si>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</si>
  <si>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</si>
  <si>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</si>
  <si>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</si>
  <si>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</si>
  <si>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</si>
  <si>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</si>
  <si>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</si>
  <si>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</si>
  <si>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</si>
  <si>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</si>
  <si>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</si>
  <si>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</si>
  <si>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</si>
  <si>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</si>
  <si>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</si>
  <si>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</si>
  <si>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</si>
  <si>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</si>
  <si>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</si>
  <si>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</si>
  <si>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</si>
  <si>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</si>
  <si>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</si>
  <si>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</si>
  <si>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</si>
  <si>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</si>
  <si>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</si>
  <si>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</si>
  <si>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</si>
  <si>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</si>
  <si>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</si>
  <si>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</si>
  <si>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</si>
  <si>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</si>
  <si>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</si>
  <si>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</si>
  <si>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</si>
  <si>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</si>
  <si>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</si>
  <si>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</si>
  <si>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</si>
  <si>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</si>
  <si>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</si>
  <si>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</si>
  <si>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</si>
  <si>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</si>
  <si>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</si>
  <si>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</si>
  <si>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</si>
  <si>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</si>
  <si>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</si>
  <si>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</si>
  <si>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</si>
  <si>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</si>
  <si>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</si>
  <si>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</si>
  <si>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</si>
  <si>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</si>
  <si>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</si>
  <si>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</si>
  <si>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</si>
  <si>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</si>
  <si>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</si>
  <si>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</si>
  <si>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</si>
  <si>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</si>
  <si>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</si>
  <si>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</si>
  <si>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</si>
  <si>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</si>
  <si>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</si>
  <si>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</si>
  <si>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</si>
  <si>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</si>
  <si>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</si>
  <si>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</si>
  <si>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</si>
  <si>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</si>
  <si>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</si>
  <si>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</si>
  <si>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</si>
  <si>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</si>
  <si>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</si>
  <si>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</si>
  <si>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</si>
  <si>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</si>
  <si>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</si>
  <si>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</si>
  <si>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</si>
  <si>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</si>
  <si>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</si>
  <si>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</si>
  <si>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</si>
  <si>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</si>
  <si>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</si>
  <si>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</si>
  <si>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</si>
  <si>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</si>
  <si>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</si>
  <si>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</si>
  <si>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</si>
  <si>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</si>
  <si>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</si>
  <si>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</si>
  <si>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</si>
  <si>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</si>
  <si>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</si>
  <si>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</si>
  <si>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</si>
  <si>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</si>
  <si>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</si>
  <si>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</si>
  <si>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</si>
  <si>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</si>
  <si>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</si>
  <si>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</si>
  <si>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</si>
  <si>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</si>
  <si>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</si>
  <si>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</si>
  <si>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</si>
  <si>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</si>
  <si>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</si>
  <si>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</si>
  <si>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</si>
  <si>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</si>
  <si>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</si>
  <si>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</si>
  <si>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</si>
  <si>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</si>
  <si>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</si>
  <si>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</si>
  <si>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</si>
  <si>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</si>
  <si>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</si>
  <si>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</si>
  <si>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</si>
  <si>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</si>
  <si>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</si>
  <si>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</si>
  <si>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</si>
  <si>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</si>
  <si>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</si>
  <si>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</si>
  <si>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</si>
  <si>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</si>
  <si>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</si>
  <si>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</si>
  <si>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</si>
  <si>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</si>
  <si>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</si>
  <si>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</si>
  <si>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</si>
  <si>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</si>
  <si>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</si>
  <si>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</si>
  <si>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</si>
  <si>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</si>
  <si>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</si>
  <si>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</si>
  <si>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</si>
  <si>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</si>
  <si>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</si>
  <si>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</si>
  <si>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</si>
  <si>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</si>
  <si>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</si>
  <si>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</si>
  <si>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</si>
  <si>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</si>
  <si>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</si>
  <si>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</si>
  <si>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</si>
  <si>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</si>
  <si>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</si>
  <si>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</si>
  <si>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</si>
  <si>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</si>
  <si>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</si>
  <si>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</si>
  <si>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</si>
  <si>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</si>
  <si>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</si>
  <si>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</si>
  <si>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</si>
  <si>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</si>
  <si>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</si>
  <si>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</si>
  <si>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</si>
  <si>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</si>
  <si>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</si>
  <si>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</si>
  <si>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</si>
  <si>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</si>
  <si>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</si>
  <si>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</si>
  <si>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</si>
  <si>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</si>
  <si>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</si>
  <si>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</si>
  <si>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</si>
  <si>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</si>
  <si>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</si>
  <si>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</si>
  <si>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</si>
  <si>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</si>
  <si>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</si>
  <si>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</si>
  <si>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</si>
  <si>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</si>
  <si>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</si>
  <si>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</si>
  <si>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</si>
  <si>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</si>
  <si>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</si>
  <si>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</si>
  <si>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</si>
  <si>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</si>
  <si>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</si>
  <si>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</si>
  <si>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</si>
  <si>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</si>
  <si>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</si>
  <si>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</si>
  <si>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</si>
  <si>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</si>
  <si>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</si>
  <si>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</si>
  <si>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</si>
  <si>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</si>
  <si>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</si>
  <si>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</si>
  <si>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</si>
  <si>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</si>
  <si>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</si>
  <si>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</si>
  <si>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</si>
  <si>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</si>
  <si>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</si>
  <si>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</si>
  <si>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</si>
  <si>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</si>
  <si>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</si>
  <si>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</si>
  <si>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</si>
  <si>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</si>
  <si>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</si>
  <si>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</si>
  <si>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</si>
  <si>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</si>
  <si>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</si>
  <si>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</si>
  <si>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</si>
  <si>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</si>
  <si>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</si>
  <si>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</si>
  <si>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</si>
  <si>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</si>
  <si>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</si>
  <si>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</si>
  <si>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</si>
  <si>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</si>
  <si>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</si>
  <si>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</si>
  <si>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</si>
  <si>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</si>
  <si>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</si>
  <si>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</si>
  <si>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</si>
  <si>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</si>
  <si>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</si>
  <si>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</si>
  <si>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</si>
  <si>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</si>
  <si>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</si>
  <si>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</si>
  <si>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</si>
  <si>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</si>
  <si>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</si>
  <si>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</si>
  <si>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</si>
  <si>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</si>
  <si>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</si>
  <si>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</si>
  <si>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</si>
  <si>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</si>
  <si>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</si>
  <si>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</si>
  <si>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</si>
  <si>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</si>
  <si>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</si>
  <si>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</si>
  <si>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</si>
  <si>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</si>
  <si>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</si>
  <si>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</si>
  <si>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</si>
  <si>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</si>
  <si>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</si>
  <si>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</si>
  <si>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</si>
  <si>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</si>
  <si>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</si>
  <si>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</si>
  <si>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</si>
  <si>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</si>
  <si>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</si>
  <si>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</si>
  <si>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</si>
  <si>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</si>
  <si>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</si>
  <si>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</si>
  <si>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</si>
  <si>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</si>
  <si>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</si>
  <si>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</si>
  <si>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</si>
  <si>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</si>
  <si>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</si>
  <si>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</si>
  <si>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</si>
  <si>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</si>
  <si>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</si>
  <si>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</si>
  <si>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</si>
  <si>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</si>
  <si>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</si>
  <si>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</si>
  <si>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</si>
  <si>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</si>
  <si>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</si>
  <si>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</si>
  <si>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</si>
  <si>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</si>
  <si>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</si>
  <si>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</si>
  <si>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</si>
  <si>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</si>
  <si>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</si>
  <si>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</si>
  <si>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</si>
  <si>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</si>
  <si>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</si>
  <si>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</si>
  <si>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</si>
  <si>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</si>
  <si>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</si>
  <si>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</si>
  <si>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</si>
  <si>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</si>
  <si>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</si>
  <si>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</si>
  <si>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</si>
  <si>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</si>
  <si>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</si>
  <si>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</si>
  <si>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</si>
  <si>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</si>
  <si>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</si>
  <si>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</si>
  <si>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</si>
  <si>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</si>
  <si>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</si>
  <si>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</si>
  <si>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</si>
  <si>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</si>
  <si>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</si>
  <si>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</si>
  <si>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</si>
  <si>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</si>
  <si>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</si>
  <si>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</si>
  <si>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</si>
  <si>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</si>
  <si>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</si>
  <si>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</si>
  <si>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</si>
  <si>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</si>
  <si>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</si>
  <si>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</si>
  <si>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</si>
  <si>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</si>
  <si>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</si>
  <si>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</si>
  <si>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</si>
  <si>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</si>
  <si>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</si>
  <si>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</si>
  <si>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</si>
  <si>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</si>
  <si>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</si>
  <si>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</si>
  <si>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</si>
  <si>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</si>
  <si>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</si>
  <si>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</si>
  <si>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</si>
  <si>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</si>
  <si>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</si>
  <si>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</si>
  <si>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</si>
  <si>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</si>
  <si>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</si>
  <si>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</si>
  <si>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</si>
  <si>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</si>
  <si>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</si>
  <si>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</si>
  <si>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</si>
  <si>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</si>
  <si>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</si>
  <si>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</si>
  <si>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</si>
  <si>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</si>
  <si>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</si>
  <si>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</si>
  <si>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</si>
  <si>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</si>
  <si>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</si>
  <si>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</si>
  <si>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</si>
  <si>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</si>
  <si>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</si>
  <si>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</si>
  <si>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</si>
  <si>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</si>
  <si>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</si>
  <si>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</si>
  <si>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</si>
  <si>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</si>
  <si>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</si>
  <si>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</si>
  <si>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</si>
  <si>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</si>
  <si>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</si>
  <si>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</si>
  <si>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</si>
  <si>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</si>
  <si>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</si>
  <si>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</si>
  <si>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</si>
  <si>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</si>
  <si>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</si>
  <si>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</si>
  <si>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</si>
  <si>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</si>
  <si>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</si>
  <si>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</si>
  <si>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</si>
  <si>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</si>
  <si>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</si>
  <si>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</si>
  <si>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</si>
  <si>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</si>
  <si>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</si>
  <si>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</si>
  <si>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</si>
  <si>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</si>
  <si>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</si>
  <si>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</si>
  <si>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</si>
  <si>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</si>
  <si>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</si>
  <si>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</si>
  <si>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</si>
  <si>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</si>
  <si>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</si>
  <si>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</si>
  <si>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</si>
  <si>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</si>
  <si>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</si>
  <si>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</si>
  <si>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</si>
  <si>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</si>
  <si>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</si>
  <si>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</si>
  <si>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</si>
  <si>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</si>
  <si>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</si>
  <si>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</si>
  <si>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</si>
  <si>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</si>
  <si>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</si>
  <si>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</si>
  <si>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</si>
  <si>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</si>
  <si>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</si>
  <si>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</si>
  <si>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</si>
  <si>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</si>
  <si>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</si>
  <si>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</si>
  <si>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</si>
  <si>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</si>
  <si>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</si>
  <si>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</si>
  <si>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</si>
  <si>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</si>
  <si>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</si>
  <si>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</si>
  <si>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</si>
  <si>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</si>
  <si>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</si>
  <si>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</si>
  <si>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</si>
  <si>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</si>
  <si>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</si>
  <si>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</si>
  <si>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</si>
  <si>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</si>
  <si>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</si>
  <si>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</si>
  <si>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</si>
  <si>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</si>
  <si>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</si>
  <si>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</si>
  <si>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</si>
  <si>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</si>
  <si>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</si>
  <si>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</si>
  <si>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</si>
  <si>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</si>
  <si>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</si>
  <si>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</si>
  <si>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</si>
  <si>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</si>
  <si>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</si>
  <si>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</si>
  <si>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</si>
  <si>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</si>
  <si>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</si>
  <si>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</si>
  <si>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</si>
  <si>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</si>
  <si>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</si>
  <si>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</si>
  <si>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</si>
  <si>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</si>
  <si>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</si>
  <si>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</si>
  <si>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</si>
  <si>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</si>
  <si>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</si>
  <si>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</si>
  <si>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</si>
  <si>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</si>
  <si>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</si>
  <si>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</si>
  <si>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</si>
  <si>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</si>
  <si>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</si>
  <si>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</si>
  <si>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</si>
  <si>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</si>
  <si>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</si>
  <si>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</si>
  <si>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</si>
  <si>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</si>
  <si>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</si>
  <si>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</si>
  <si>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</si>
  <si>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</si>
  <si>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</si>
  <si>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</si>
  <si>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</si>
  <si>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</si>
  <si>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</si>
  <si>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</si>
  <si>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</si>
  <si>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</si>
  <si>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</si>
  <si>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</si>
  <si>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</si>
  <si>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</si>
  <si>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</si>
  <si>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</si>
  <si>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</si>
  <si>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</si>
  <si>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</si>
  <si>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</si>
  <si>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</si>
  <si>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</si>
  <si>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</si>
  <si>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</si>
  <si>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</si>
  <si>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</si>
  <si>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</si>
  <si>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</si>
  <si>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</si>
  <si>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</si>
  <si>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</si>
  <si>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</si>
  <si>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</si>
  <si>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</si>
  <si>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</si>
  <si>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</si>
  <si>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</si>
  <si>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</si>
  <si>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</si>
  <si>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</si>
  <si>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</si>
  <si>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</si>
  <si>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</si>
  <si>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</si>
  <si>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</si>
  <si>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</si>
  <si>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</si>
  <si>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</si>
  <si>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</si>
  <si>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</si>
  <si>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</si>
  <si>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</si>
  <si>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</si>
  <si>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</si>
  <si>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</si>
  <si>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</si>
  <si>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</si>
  <si>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</si>
  <si>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</si>
  <si>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</si>
  <si>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</si>
  <si>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</si>
  <si>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</si>
  <si>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</si>
  <si>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</si>
  <si>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</si>
  <si>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</si>
  <si>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</si>
  <si>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</si>
  <si>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</si>
  <si>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</si>
  <si>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</si>
  <si>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</si>
  <si>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</si>
  <si>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</si>
  <si>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</si>
  <si>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</si>
  <si>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</si>
  <si>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</si>
  <si>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</si>
  <si>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</si>
  <si>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</si>
  <si>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</si>
  <si>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</si>
  <si>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</si>
  <si>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</si>
  <si>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</si>
  <si>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</si>
  <si>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</si>
  <si>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</si>
  <si>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</si>
  <si>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</si>
  <si>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</si>
  <si>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</si>
  <si>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</si>
  <si>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</si>
  <si>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</si>
  <si>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</si>
  <si>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</si>
  <si>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</si>
  <si>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</si>
  <si>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</si>
  <si>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</si>
  <si>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</si>
  <si>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</si>
  <si>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</si>
  <si>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</si>
  <si>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</si>
  <si>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</si>
  <si>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</si>
  <si>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</si>
  <si>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</si>
  <si>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</si>
  <si>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</si>
  <si>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</si>
  <si>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</si>
  <si>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</si>
  <si>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</si>
  <si>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</si>
  <si>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</si>
  <si>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</si>
  <si>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</si>
  <si>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</si>
  <si>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</si>
  <si>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</si>
  <si>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</si>
  <si>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</si>
  <si>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</si>
  <si>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</si>
  <si>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</si>
  <si>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</si>
  <si>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</si>
  <si>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</si>
  <si>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</si>
  <si>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</si>
  <si>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</si>
  <si>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</si>
  <si>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</si>
  <si>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</si>
  <si>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</si>
  <si>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</si>
  <si>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</si>
  <si>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</si>
  <si>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</si>
  <si>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</si>
  <si>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</si>
  <si>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</si>
  <si>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</si>
  <si>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</si>
  <si>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</si>
  <si>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</si>
  <si>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</si>
  <si>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</si>
  <si>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</si>
  <si>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</si>
  <si>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</si>
  <si>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</si>
  <si>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</si>
  <si>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</si>
  <si>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</si>
  <si>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</si>
  <si>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</si>
  <si>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</si>
  <si>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</si>
  <si>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</si>
  <si>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</si>
  <si>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</si>
  <si>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</si>
  <si>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</si>
  <si>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</si>
  <si>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</si>
  <si>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</si>
  <si>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</si>
  <si>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</si>
  <si>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</si>
  <si>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</si>
  <si>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</si>
  <si>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</si>
  <si>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</si>
  <si>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</si>
  <si>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</si>
  <si>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</si>
  <si>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</si>
  <si>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</si>
  <si>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</si>
  <si>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</si>
  <si>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</si>
  <si>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</si>
  <si>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</si>
  <si>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</si>
  <si>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</si>
  <si>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</si>
  <si>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</si>
  <si>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</si>
  <si>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</si>
  <si>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</si>
  <si>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</si>
  <si>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</si>
  <si>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</si>
  <si>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</si>
  <si>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</si>
  <si>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</si>
  <si>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</si>
  <si>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</si>
  <si>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</si>
  <si>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</si>
  <si>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</si>
  <si>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</si>
  <si>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</si>
  <si>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</si>
  <si>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</si>
  <si>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</si>
  <si>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</si>
  <si>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</si>
  <si>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</si>
  <si>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</si>
  <si>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</si>
  <si>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</si>
  <si>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</si>
  <si>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</si>
  <si>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</si>
  <si>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</si>
  <si>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</si>
  <si>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</si>
  <si>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</si>
  <si>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</si>
  <si>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</si>
  <si>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</si>
  <si>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</si>
  <si>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</si>
  <si>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</si>
  <si>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</si>
  <si>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</si>
  <si>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</si>
  <si>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</si>
  <si>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</si>
  <si>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</si>
  <si>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</si>
  <si>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</si>
  <si>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</si>
  <si>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</si>
  <si>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</si>
  <si>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</si>
  <si>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</si>
  <si>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</si>
  <si>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</si>
  <si>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</si>
  <si>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</si>
  <si>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</si>
  <si>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</si>
  <si>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</si>
  <si>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</si>
  <si>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</si>
  <si>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</si>
  <si>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</si>
  <si>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</si>
  <si>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</si>
  <si>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</si>
  <si>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</si>
  <si>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</si>
  <si>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</si>
  <si>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</si>
  <si>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</si>
  <si>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</si>
  <si>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</si>
  <si>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</si>
  <si>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</si>
  <si>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</si>
  <si>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</si>
  <si>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</si>
  <si>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</si>
  <si>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</si>
  <si>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</si>
  <si>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</si>
  <si>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</si>
  <si>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</si>
  <si>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</si>
  <si>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</si>
  <si>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</si>
  <si>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</si>
  <si>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</si>
  <si>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</si>
  <si>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</si>
  <si>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</si>
  <si>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</si>
  <si>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</si>
  <si>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</si>
  <si>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</si>
  <si>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</si>
  <si>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</si>
  <si>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</si>
  <si>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</si>
  <si>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</si>
  <si>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</si>
  <si>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</si>
  <si>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</si>
  <si>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</si>
  <si>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</si>
  <si>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</si>
  <si>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</si>
  <si>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</si>
  <si>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</si>
  <si>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</si>
  <si>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</si>
  <si>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</si>
  <si>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</si>
  <si>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</si>
  <si>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</si>
  <si>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</si>
  <si>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</si>
  <si>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</si>
  <si>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</si>
  <si>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</si>
  <si>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</si>
  <si>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</si>
  <si>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</si>
  <si>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</si>
  <si>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</si>
  <si>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</si>
  <si>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</si>
  <si>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</si>
  <si>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</si>
  <si>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</si>
  <si>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</si>
  <si>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</si>
  <si>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</si>
  <si>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</si>
  <si>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</si>
  <si>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</si>
  <si>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</si>
  <si>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</si>
  <si>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</si>
  <si>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</si>
  <si>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</si>
  <si>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</si>
  <si>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</si>
  <si>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</si>
  <si>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</si>
  <si>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</si>
  <si>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</si>
  <si>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</si>
  <si>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</si>
  <si>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</si>
  <si>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</si>
  <si>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</si>
  <si>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</si>
  <si>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</si>
  <si>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</si>
  <si>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</si>
  <si>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</si>
  <si>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</si>
  <si>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</si>
  <si>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</si>
  <si>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</si>
  <si>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</si>
  <si>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</si>
  <si>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</si>
  <si>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</si>
  <si>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</si>
  <si>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</si>
  <si>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</si>
  <si>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</si>
  <si>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</si>
  <si>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</si>
  <si>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</si>
  <si>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</si>
  <si>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</si>
  <si>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</si>
  <si>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</si>
  <si>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</si>
  <si>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</si>
  <si>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</si>
  <si>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</si>
  <si>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</si>
  <si>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</si>
  <si>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</si>
  <si>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</si>
  <si>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</si>
  <si>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</si>
  <si>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</si>
  <si>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</si>
  <si>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</si>
  <si>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</si>
  <si>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</si>
  <si>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</si>
  <si>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</si>
  <si>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</si>
  <si>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</si>
  <si>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</si>
  <si>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</si>
  <si>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</si>
  <si>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</si>
  <si>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</si>
  <si>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</si>
  <si>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</si>
  <si>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</si>
  <si>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</si>
  <si>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</si>
  <si>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</si>
  <si>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</si>
  <si>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</si>
  <si>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</si>
  <si>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</si>
  <si>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</si>
  <si>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</si>
  <si>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</si>
  <si>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</si>
  <si>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</si>
  <si>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</si>
  <si>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</si>
  <si>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</si>
  <si>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</si>
  <si>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</si>
  <si>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</si>
  <si>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</si>
  <si>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</si>
  <si>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</si>
  <si>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</si>
  <si>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</si>
  <si>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</si>
  <si>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</si>
  <si>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</si>
  <si>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</si>
  <si>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</si>
  <si>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</si>
  <si>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</si>
  <si>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</si>
  <si>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</si>
  <si>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</si>
  <si>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</si>
  <si>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</si>
  <si>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</si>
  <si>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</si>
  <si>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</si>
  <si>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</si>
  <si>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</si>
  <si>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</si>
  <si>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</si>
  <si>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</si>
  <si>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</si>
  <si>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</si>
  <si>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</si>
  <si>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</si>
  <si>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</si>
  <si>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</si>
  <si>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</si>
  <si>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</si>
  <si>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</si>
  <si>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</si>
  <si>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</si>
  <si>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</si>
  <si>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</si>
  <si>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</si>
  <si>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</si>
  <si>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</si>
  <si>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</si>
  <si>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</si>
  <si>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</si>
  <si>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</si>
  <si>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</si>
  <si>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</si>
  <si>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</si>
  <si>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</si>
  <si>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</si>
  <si>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</si>
  <si>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</si>
  <si>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</si>
  <si>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</si>
  <si>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</si>
  <si>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</si>
  <si>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</si>
  <si>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</si>
  <si>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</si>
  <si>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</si>
  <si>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</si>
  <si>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</si>
  <si>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</si>
  <si>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</si>
  <si>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</si>
  <si>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</si>
  <si>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</si>
  <si>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</si>
  <si>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</si>
  <si>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</si>
  <si>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</si>
  <si>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</si>
  <si>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</si>
  <si>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</si>
  <si>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</si>
  <si>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</si>
  <si>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</si>
  <si>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</si>
  <si>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</si>
  <si>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</si>
  <si>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</si>
  <si>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</si>
  <si>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</si>
  <si>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</si>
  <si>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</si>
  <si>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</si>
  <si>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</si>
  <si>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</si>
  <si>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</si>
  <si>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</si>
  <si>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</si>
  <si>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</si>
  <si>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</si>
  <si>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</si>
  <si>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</si>
  <si>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</si>
  <si>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</si>
  <si>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</si>
  <si>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</si>
  <si>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</si>
  <si>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</si>
  <si>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</si>
  <si>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</si>
  <si>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</si>
  <si>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</si>
  <si>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</si>
  <si>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</si>
  <si>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</si>
  <si>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</si>
  <si>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</si>
  <si>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</si>
  <si>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</si>
  <si>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</si>
  <si>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</si>
  <si>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</si>
  <si>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</si>
  <si>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</si>
  <si>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</si>
  <si>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</si>
  <si>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</si>
  <si>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</si>
  <si>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</si>
  <si>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</si>
  <si>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</si>
  <si>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</si>
  <si>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</si>
  <si>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</si>
  <si>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</si>
  <si>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</si>
  <si>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</si>
  <si>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</si>
  <si>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</si>
  <si>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</si>
  <si>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</si>
  <si>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</si>
  <si>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</si>
  <si>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</si>
  <si>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</si>
  <si>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</si>
  <si>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</si>
  <si>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</si>
  <si>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</si>
  <si>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</si>
  <si>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</si>
  <si>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</si>
  <si>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</si>
  <si>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</si>
  <si>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</si>
  <si>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</si>
  <si>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</si>
  <si>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</si>
  <si>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</si>
  <si>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</si>
  <si>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</si>
  <si>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</si>
  <si>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</si>
  <si>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</si>
  <si>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</si>
  <si>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</si>
  <si>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</si>
  <si>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</si>
  <si>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</si>
  <si>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</si>
  <si>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</si>
  <si>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</si>
  <si>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</si>
  <si>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</si>
  <si>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</si>
  <si>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</si>
  <si>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</si>
  <si>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</si>
  <si>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</si>
  <si>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</si>
  <si>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</si>
  <si>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</si>
  <si>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</si>
  <si>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</si>
  <si>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</si>
  <si>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</si>
  <si>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</si>
  <si>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</si>
  <si>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</si>
  <si>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</si>
  <si>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</si>
  <si>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</si>
  <si>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</si>
  <si>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</si>
  <si>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</si>
  <si>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</si>
  <si>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</si>
  <si>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</si>
  <si>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</si>
  <si>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</si>
  <si>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</si>
  <si>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</si>
  <si>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</si>
  <si>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</si>
  <si>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</si>
  <si>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</si>
  <si>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</si>
  <si>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</si>
  <si>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</si>
  <si>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</si>
  <si>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</si>
  <si>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</si>
  <si>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</si>
  <si>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</si>
  <si>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</si>
  <si>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</si>
  <si>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</si>
  <si>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</si>
  <si>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</si>
  <si>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</si>
  <si>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</si>
  <si>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</si>
  <si>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</si>
  <si>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</si>
  <si>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</si>
  <si>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</si>
  <si>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</si>
  <si>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</si>
  <si>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</si>
  <si>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</si>
  <si>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</si>
  <si>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</si>
  <si>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</si>
  <si>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</si>
  <si>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</si>
  <si>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</si>
  <si>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</si>
  <si>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</si>
  <si>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</si>
  <si>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</si>
  <si>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</si>
  <si>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</si>
  <si>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</si>
  <si>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</si>
  <si>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</si>
  <si>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</si>
  <si>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</si>
  <si>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</si>
  <si>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</si>
  <si>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</si>
  <si>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</si>
  <si>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</si>
  <si>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</si>
  <si>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</si>
  <si>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</si>
  <si>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</si>
  <si>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</si>
  <si>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</si>
  <si>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</si>
  <si>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</si>
  <si>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</si>
  <si>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</si>
  <si>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</si>
  <si>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</si>
  <si>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</si>
  <si>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</si>
  <si>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</si>
  <si>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</si>
  <si>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</si>
  <si>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</si>
  <si>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</si>
  <si>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</si>
  <si>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</si>
  <si>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</si>
  <si>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</si>
  <si>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</si>
  <si>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</si>
  <si>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</si>
  <si>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</si>
  <si>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</si>
  <si>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</si>
  <si>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</si>
  <si>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</si>
  <si>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</si>
  <si>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</si>
  <si>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</si>
  <si>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</si>
  <si>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</si>
  <si>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</si>
  <si>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</si>
  <si>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</si>
  <si>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</si>
  <si>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</si>
  <si>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</si>
  <si>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</si>
  <si>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</si>
  <si>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</si>
  <si>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</si>
  <si>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</si>
  <si>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</si>
  <si>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</si>
  <si>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</si>
  <si>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</si>
  <si>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</si>
  <si>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</si>
  <si>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</si>
  <si>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</si>
  <si>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</si>
  <si>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</si>
  <si>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</si>
  <si>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</si>
  <si>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</si>
  <si>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</si>
  <si>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</si>
  <si>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</si>
  <si>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</si>
  <si>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</si>
  <si>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</si>
  <si>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</si>
  <si>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</si>
  <si>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</si>
  <si>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</si>
  <si>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</si>
  <si>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</si>
  <si>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</si>
  <si>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</si>
  <si>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</si>
  <si>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</si>
  <si>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</si>
  <si>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</si>
  <si>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</si>
  <si>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</si>
  <si>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</si>
  <si>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</si>
  <si>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</si>
  <si>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</si>
  <si>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</si>
  <si>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</si>
  <si>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</si>
  <si>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</si>
  <si>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</si>
  <si>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</si>
  <si>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</si>
  <si>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</si>
  <si>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</si>
  <si>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</si>
  <si>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</si>
  <si>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</si>
  <si>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</si>
  <si>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</si>
  <si>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</si>
  <si>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</si>
  <si>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</si>
  <si>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</si>
  <si>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</si>
  <si>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</si>
  <si>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</si>
  <si>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</si>
  <si>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</si>
  <si>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</si>
  <si>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</si>
  <si>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</si>
  <si>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</si>
  <si>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</si>
  <si>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</si>
  <si>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</si>
  <si>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</si>
  <si>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</si>
  <si>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</si>
  <si>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</si>
  <si>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</si>
  <si>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</si>
  <si>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</si>
  <si>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</si>
  <si>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</si>
  <si>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</si>
  <si>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</si>
  <si>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</si>
  <si>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</si>
  <si>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</si>
  <si>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</si>
  <si>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</si>
  <si>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</si>
  <si>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</si>
  <si>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</si>
  <si>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</si>
  <si>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</si>
  <si>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</si>
  <si>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</si>
  <si>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</si>
  <si>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</si>
  <si>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</si>
  <si>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</si>
  <si>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</si>
  <si>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</si>
  <si>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</si>
  <si>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</si>
  <si>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</si>
  <si>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</si>
  <si>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</si>
  <si>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</si>
  <si>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</si>
  <si>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</si>
  <si>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</si>
  <si>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</si>
  <si>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</si>
  <si>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</si>
  <si>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</si>
  <si>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</si>
  <si>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</si>
  <si>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</si>
  <si>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</si>
  <si>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</si>
  <si>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</si>
  <si>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</si>
  <si>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</si>
  <si>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</si>
  <si>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</si>
  <si>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</si>
  <si>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</si>
  <si>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</si>
  <si>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</si>
  <si>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</si>
  <si>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</si>
  <si>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</si>
  <si>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</si>
  <si>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</si>
  <si>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</si>
  <si>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</si>
  <si>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</si>
  <si>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</si>
  <si>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</si>
  <si>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</si>
  <si>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</si>
  <si>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</si>
  <si>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</si>
  <si>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</si>
  <si>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</si>
  <si>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</si>
  <si>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</si>
  <si>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</si>
  <si>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</si>
  <si>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</si>
  <si>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</si>
  <si>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</si>
  <si>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</si>
  <si>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</si>
  <si>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</si>
  <si>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</si>
  <si>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</si>
  <si>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</si>
  <si>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</si>
  <si>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</si>
  <si>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</si>
  <si>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</si>
  <si>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</si>
  <si>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</si>
  <si>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</si>
  <si>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</si>
  <si>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</si>
  <si>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</si>
  <si>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</si>
  <si>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</si>
  <si>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</si>
  <si>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</si>
  <si>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</si>
  <si>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</si>
  <si>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</si>
  <si>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</si>
  <si>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</si>
  <si>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</si>
  <si>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</si>
  <si>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</si>
  <si>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</si>
  <si>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</si>
  <si>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</si>
  <si>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</si>
  <si>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</si>
  <si>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</si>
  <si>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</si>
  <si>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</si>
  <si>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</si>
  <si>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</si>
  <si>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</si>
  <si>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</si>
  <si>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</si>
  <si>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</si>
  <si>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</si>
  <si>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</si>
  <si>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</si>
  <si>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</si>
  <si>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</si>
  <si>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</si>
  <si>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</si>
  <si>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</si>
  <si>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</si>
  <si>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</si>
  <si>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</si>
  <si>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</si>
  <si>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</si>
  <si>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</si>
  <si>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</si>
  <si>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</si>
  <si>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</si>
  <si>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</si>
  <si>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</si>
  <si>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</si>
  <si>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</si>
  <si>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</si>
  <si>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</si>
  <si>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</si>
  <si>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</si>
  <si>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</si>
  <si>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</si>
  <si>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</si>
  <si>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</si>
  <si>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</si>
  <si>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</si>
  <si>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</si>
  <si>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</si>
  <si>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</si>
  <si>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</si>
  <si>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</si>
  <si>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</si>
  <si>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</si>
  <si>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</si>
  <si>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</si>
  <si>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</si>
  <si>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</si>
  <si>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</si>
  <si>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</si>
  <si>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</si>
  <si>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</si>
  <si>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</si>
  <si>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</si>
  <si>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</si>
  <si>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</si>
  <si>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</si>
  <si>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</si>
  <si>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</si>
  <si>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</si>
  <si>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</si>
  <si>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</si>
  <si>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</si>
  <si>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</si>
  <si>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</si>
  <si>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</si>
  <si>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</si>
  <si>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</si>
  <si>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</si>
  <si>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</si>
  <si>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</si>
  <si>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</si>
  <si>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</si>
  <si>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</si>
  <si>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</si>
  <si>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</si>
  <si>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</si>
  <si>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</si>
  <si>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</si>
  <si>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</si>
  <si>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</si>
  <si>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</si>
  <si>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</si>
  <si>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</si>
  <si>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</si>
  <si>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</si>
  <si>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</si>
  <si>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</si>
  <si>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</si>
  <si>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</si>
  <si>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</si>
  <si>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</si>
  <si>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</si>
  <si>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</si>
  <si>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</si>
  <si>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</si>
  <si>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</si>
  <si>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</si>
  <si>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</si>
  <si>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</si>
  <si>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</si>
  <si>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</si>
  <si>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</si>
  <si>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</si>
  <si>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</si>
  <si>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</si>
  <si>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</si>
  <si>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</si>
  <si>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</si>
  <si>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</si>
  <si>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</si>
  <si>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</si>
  <si>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</si>
  <si>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</si>
  <si>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</si>
  <si>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</si>
  <si>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</si>
  <si>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</si>
  <si>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</si>
  <si>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</si>
  <si>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</si>
  <si>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</si>
  <si>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</si>
  <si>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</si>
  <si>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</si>
  <si>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</si>
  <si>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</si>
  <si>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</si>
  <si>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</si>
  <si>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</si>
  <si>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</si>
  <si>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</si>
  <si>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</si>
  <si>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</si>
  <si>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</si>
  <si>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</si>
  <si>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</si>
  <si>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</si>
  <si>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</si>
  <si>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</si>
  <si>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</si>
  <si>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</si>
  <si>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</si>
  <si>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</si>
  <si>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</si>
  <si>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</si>
  <si>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</si>
  <si>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</si>
  <si>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</si>
  <si>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</si>
  <si>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</si>
  <si>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</si>
  <si>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</si>
  <si>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</si>
  <si>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</si>
  <si>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</si>
  <si>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</si>
  <si>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</si>
  <si>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</si>
  <si>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</si>
  <si>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</si>
  <si>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</si>
  <si>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</si>
  <si>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</si>
  <si>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</si>
  <si>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</si>
  <si>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</si>
  <si>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</si>
  <si>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</si>
  <si>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</si>
  <si>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</si>
  <si>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</si>
  <si>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</si>
  <si>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</si>
  <si>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</si>
  <si>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</si>
  <si>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</si>
  <si>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</si>
  <si>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</si>
  <si>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</si>
  <si>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</si>
  <si>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</si>
  <si>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</si>
  <si>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</si>
  <si>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</si>
  <si>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</si>
  <si>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</si>
  <si>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</si>
  <si>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</si>
  <si>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</si>
  <si>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</si>
  <si>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</si>
  <si>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</si>
  <si>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</si>
  <si>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</si>
  <si>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</si>
  <si>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</si>
  <si>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</si>
  <si>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</si>
  <si>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</si>
  <si>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</si>
  <si>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</si>
  <si>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</si>
  <si>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</si>
  <si>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</si>
  <si>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</si>
  <si>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</si>
  <si>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</si>
  <si>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</si>
  <si>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</si>
  <si>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</si>
  <si>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</si>
  <si>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</si>
  <si>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</si>
  <si>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</si>
  <si>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</si>
  <si>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</si>
  <si>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</si>
  <si>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</si>
  <si>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</si>
  <si>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</si>
  <si>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</si>
  <si>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</si>
  <si>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</si>
  <si>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</si>
  <si>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</si>
  <si>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</si>
  <si>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</si>
  <si>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</si>
  <si>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</si>
  <si>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</si>
  <si>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</si>
  <si>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</si>
  <si>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</si>
  <si>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</si>
  <si>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</si>
  <si>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</si>
  <si>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</si>
  <si>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</si>
  <si>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</si>
  <si>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</si>
  <si>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</si>
  <si>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</si>
  <si>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</si>
  <si>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</si>
  <si>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</si>
  <si>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</si>
  <si>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</si>
  <si>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</si>
  <si>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</si>
  <si>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</si>
  <si>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</si>
  <si>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</si>
  <si>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</si>
  <si>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</si>
  <si>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</si>
  <si>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</si>
  <si>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</si>
  <si>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</si>
  <si>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</si>
  <si>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</si>
  <si>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</si>
  <si>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</si>
  <si>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</si>
  <si>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</si>
  <si>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</si>
  <si>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</si>
  <si>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</si>
  <si>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</si>
  <si>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</si>
  <si>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</si>
  <si>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</si>
  <si>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</si>
  <si>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</si>
  <si>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</si>
  <si>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</si>
  <si>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</si>
  <si>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</si>
  <si>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</si>
  <si>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</si>
  <si>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</si>
  <si>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</si>
  <si>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</si>
  <si>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</si>
  <si>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</si>
  <si>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</si>
  <si>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</si>
  <si>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</si>
  <si>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</si>
  <si>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</si>
  <si>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</si>
  <si>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</si>
  <si>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</si>
  <si>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</si>
  <si>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</si>
  <si>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</si>
  <si>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</si>
  <si>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</si>
  <si>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</si>
  <si>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</si>
  <si>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</si>
  <si>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</si>
  <si>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</si>
  <si>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</si>
  <si>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</si>
  <si>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</si>
  <si>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</si>
  <si>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</si>
  <si>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</si>
  <si>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</si>
  <si>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</si>
  <si>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</si>
  <si>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</si>
  <si>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</si>
  <si>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</si>
  <si>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</si>
  <si>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</si>
  <si>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</si>
  <si>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</si>
  <si>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</si>
  <si>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</si>
  <si>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</si>
  <si>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</si>
  <si>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</si>
  <si>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</si>
  <si>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</si>
  <si>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</si>
  <si>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</si>
  <si>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</si>
  <si>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</si>
  <si>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</si>
  <si>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</si>
  <si>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</si>
  <si>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</si>
  <si>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</si>
  <si>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</si>
  <si>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</si>
  <si>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</si>
  <si>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</si>
  <si>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</si>
  <si>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</si>
  <si>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</si>
  <si>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</si>
  <si>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</si>
  <si>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</si>
  <si>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</si>
  <si>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</si>
  <si>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</si>
  <si>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</si>
  <si>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</si>
  <si>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</si>
  <si>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</si>
  <si>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</si>
  <si>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</si>
  <si>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</si>
  <si>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</si>
  <si>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</si>
  <si>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</si>
  <si>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</si>
  <si>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</si>
  <si>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</si>
  <si>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</si>
  <si>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</si>
  <si>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</si>
  <si>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</si>
  <si>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</si>
  <si>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</si>
  <si>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</si>
  <si>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</si>
  <si>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</si>
  <si>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</si>
  <si>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</si>
  <si>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</si>
  <si>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</si>
  <si>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</si>
  <si>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</si>
  <si>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</si>
  <si>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</si>
  <si>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</si>
  <si>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</si>
  <si>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</si>
  <si>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</si>
  <si>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</si>
  <si>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</si>
  <si>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</si>
  <si>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</si>
  <si>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</si>
  <si>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</si>
  <si>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</si>
  <si>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</si>
  <si>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</si>
  <si>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</si>
  <si>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</si>
  <si>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</si>
  <si>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</si>
  <si>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</si>
  <si>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</si>
  <si>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</si>
  <si>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</si>
  <si>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</si>
  <si>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</si>
  <si>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</si>
  <si>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</si>
  <si>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</si>
  <si>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</si>
  <si>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</si>
  <si>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</si>
  <si>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</si>
  <si>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</si>
  <si>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</si>
  <si>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</si>
  <si>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</si>
  <si>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</si>
  <si>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</si>
  <si>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</si>
  <si>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</si>
  <si>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</si>
  <si>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</si>
  <si>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</si>
  <si>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</si>
  <si>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</si>
  <si>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</si>
  <si>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</si>
  <si>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</si>
  <si>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</si>
  <si>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</si>
  <si>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</si>
  <si>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</si>
  <si>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</si>
  <si>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</si>
  <si>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</si>
  <si>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</si>
  <si>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</si>
  <si>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</si>
  <si>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</si>
  <si>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</si>
  <si>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</si>
  <si>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</si>
  <si>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</si>
  <si>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</si>
  <si>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</si>
  <si>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</si>
  <si>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</si>
  <si>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</si>
  <si>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</si>
  <si>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</si>
  <si>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</si>
  <si>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</si>
  <si>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</si>
  <si>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</si>
  <si>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</si>
  <si>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</si>
  <si>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</si>
  <si>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</si>
  <si>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</si>
  <si>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</si>
  <si>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</si>
  <si>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</si>
  <si>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</si>
  <si>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</si>
  <si>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</si>
  <si>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</si>
  <si>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</si>
  <si>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</si>
  <si>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</si>
  <si>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</si>
  <si>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</si>
  <si>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</si>
  <si>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</si>
  <si>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</si>
  <si>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</si>
  <si>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</si>
  <si>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</si>
  <si>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</si>
  <si>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</si>
  <si>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</si>
  <si>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</si>
  <si>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</si>
  <si>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</si>
  <si>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</si>
  <si>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</si>
  <si>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</si>
  <si>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</si>
  <si>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</si>
  <si>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</si>
  <si>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</si>
  <si>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</si>
  <si>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</si>
  <si>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</si>
  <si>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</si>
  <si>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</si>
  <si>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</si>
  <si>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</si>
  <si>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</si>
  <si>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</si>
  <si>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</si>
  <si>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</si>
  <si>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</si>
  <si>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</si>
  <si>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</si>
  <si>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</si>
  <si>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</si>
  <si>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</si>
  <si>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</si>
  <si>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</si>
  <si>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</si>
  <si>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</si>
  <si>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</si>
  <si>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</si>
  <si>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</si>
  <si>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</si>
  <si>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</si>
  <si>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</si>
  <si>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</si>
  <si>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</si>
  <si>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</si>
  <si>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</si>
  <si>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</si>
  <si>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</si>
  <si>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</si>
  <si>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</si>
  <si>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</si>
  <si>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</si>
  <si>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</si>
  <si>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</si>
  <si>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</si>
  <si>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</si>
  <si>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</si>
  <si>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</si>
  <si>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</si>
  <si>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</si>
  <si>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</si>
  <si>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</si>
  <si>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</si>
  <si>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</si>
  <si>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</si>
  <si>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</si>
  <si>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</si>
  <si>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</si>
  <si>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</si>
  <si>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</si>
  <si>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</si>
  <si>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</si>
  <si>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</si>
  <si>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</si>
  <si>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</si>
  <si>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</si>
  <si>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</si>
  <si>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</si>
  <si>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</si>
  <si>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</si>
  <si>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</si>
  <si>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</si>
  <si>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</si>
  <si>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</si>
  <si>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</si>
  <si>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</si>
  <si>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</si>
  <si>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</si>
  <si>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</si>
  <si>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</si>
  <si>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</si>
  <si>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</si>
  <si>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</si>
  <si>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</si>
  <si>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</si>
  <si>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</si>
  <si>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</si>
  <si>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</si>
  <si>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</si>
  <si>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</si>
  <si>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</si>
  <si>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</si>
  <si>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</si>
  <si>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</si>
  <si>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</si>
  <si>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</si>
  <si>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</si>
  <si>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</si>
  <si>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</si>
  <si>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</si>
  <si>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</si>
  <si>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</si>
  <si>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</si>
  <si>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</si>
  <si>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</si>
  <si>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</si>
  <si>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</si>
  <si>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</si>
  <si>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</si>
  <si>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</si>
  <si>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</si>
  <si>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</si>
  <si>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</si>
  <si>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</si>
  <si>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</si>
  <si>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</si>
  <si>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</si>
  <si>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</si>
  <si>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</si>
  <si>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</si>
  <si>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</si>
  <si>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</si>
  <si>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</si>
  <si>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</si>
  <si>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</si>
  <si>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</si>
  <si>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</si>
  <si>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</si>
  <si>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</si>
  <si>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</si>
  <si>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</si>
  <si>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</si>
  <si>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</si>
  <si>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</si>
  <si>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</si>
  <si>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</si>
  <si>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</si>
  <si>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</si>
  <si>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</si>
  <si>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</si>
  <si>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</si>
  <si>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</si>
  <si>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</si>
  <si>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</si>
  <si>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</si>
  <si>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</si>
  <si>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</si>
  <si>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</si>
  <si>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</si>
  <si>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</si>
  <si>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</si>
  <si>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</si>
  <si>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</si>
  <si>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</si>
  <si>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</si>
  <si>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</si>
  <si>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</si>
  <si>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</si>
  <si>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</si>
  <si>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</si>
  <si>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</si>
  <si>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</si>
  <si>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</si>
  <si>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</si>
  <si>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</si>
  <si>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</si>
  <si>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</si>
  <si>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</si>
  <si>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</si>
  <si>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</si>
  <si>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</si>
  <si>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</si>
  <si>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</si>
  <si>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</si>
  <si>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</si>
  <si>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</si>
  <si>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</si>
  <si>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</si>
  <si>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</si>
  <si>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</si>
  <si>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</si>
  <si>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</si>
  <si>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</si>
  <si>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</si>
  <si>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</si>
  <si>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</si>
  <si>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</si>
  <si>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</si>
  <si>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</si>
  <si>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</si>
  <si>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</si>
  <si>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</si>
  <si>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</si>
  <si>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</si>
  <si>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</si>
  <si>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</si>
  <si>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</si>
  <si>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</si>
  <si>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</si>
  <si>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</si>
  <si>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</si>
  <si>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</si>
  <si>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</si>
  <si>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</si>
  <si>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</si>
  <si>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</si>
  <si>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</si>
  <si>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</si>
  <si>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</si>
  <si>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</si>
  <si>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</si>
  <si>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</si>
  <si>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</si>
  <si>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</si>
  <si>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</si>
  <si>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</si>
  <si>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</si>
  <si>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</si>
  <si>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</si>
  <si>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</si>
  <si>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</si>
  <si>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</si>
  <si>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</si>
  <si>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</si>
  <si>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</si>
  <si>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</si>
  <si>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</si>
  <si>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</si>
  <si>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</si>
  <si>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</si>
  <si>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</si>
  <si>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</si>
  <si>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</si>
  <si>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</si>
  <si>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</si>
  <si>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</si>
  <si>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</si>
  <si>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</si>
  <si>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</si>
  <si>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</si>
  <si>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</si>
  <si>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</si>
  <si>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</si>
  <si>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</si>
  <si>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</si>
  <si>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</si>
  <si>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</si>
  <si>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</si>
  <si>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</si>
  <si>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</si>
  <si>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</si>
  <si>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</si>
  <si>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</si>
  <si>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</si>
  <si>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</si>
  <si>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</si>
  <si>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</si>
  <si>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</si>
  <si>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</si>
  <si>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</si>
  <si>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</si>
  <si>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</si>
  <si>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</si>
  <si>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</si>
  <si>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</si>
  <si>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</si>
  <si>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</si>
  <si>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</si>
  <si>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</si>
  <si>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</si>
  <si>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</si>
  <si>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</si>
  <si>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</si>
  <si>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</si>
  <si>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</si>
  <si>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</si>
  <si>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</si>
  <si>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</si>
  <si>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</si>
  <si>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</si>
  <si>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</si>
  <si>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</si>
  <si>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</si>
  <si>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</si>
  <si>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</si>
  <si>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</si>
  <si>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</si>
  <si>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</si>
  <si>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</si>
  <si>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</si>
  <si>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</si>
  <si>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</si>
  <si>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</si>
  <si>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</si>
  <si>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</si>
  <si>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</si>
  <si>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</si>
  <si>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</si>
  <si>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</si>
  <si>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</si>
  <si>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</si>
  <si>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</si>
  <si>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</si>
  <si>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</si>
  <si>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</si>
  <si>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</si>
  <si>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</si>
  <si>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</si>
  <si>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</si>
  <si>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</si>
  <si>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</si>
  <si>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</si>
  <si>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</si>
  <si>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</si>
  <si>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</si>
  <si>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</si>
  <si>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</si>
  <si>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</si>
  <si>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</si>
  <si>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</si>
  <si>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</si>
  <si>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</si>
  <si>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</si>
  <si>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</si>
  <si>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</si>
  <si>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</si>
  <si>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</si>
  <si>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</si>
  <si>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</si>
  <si>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</si>
  <si>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</si>
  <si>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</si>
  <si>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</si>
  <si>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</si>
  <si>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</si>
  <si>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</si>
  <si>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</si>
  <si>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</si>
  <si>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</si>
  <si>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</si>
  <si>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</si>
  <si>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</si>
  <si>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</si>
  <si>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</si>
  <si>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</si>
  <si>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</si>
  <si>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</si>
  <si>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</si>
  <si>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</si>
  <si>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</si>
  <si>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</si>
  <si>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</si>
  <si>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</si>
  <si>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</si>
  <si>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</si>
  <si>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</si>
  <si>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</si>
  <si>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</si>
  <si>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</si>
  <si>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</si>
  <si>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</si>
  <si>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</si>
  <si>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</si>
  <si>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</si>
  <si>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</si>
  <si>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</si>
  <si>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</si>
  <si>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</si>
  <si>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</si>
  <si>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</si>
  <si>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</si>
  <si>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</si>
  <si>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</si>
  <si>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</si>
  <si>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</si>
  <si>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</si>
  <si>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</si>
  <si>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</si>
  <si>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</si>
  <si>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</si>
  <si>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</si>
  <si>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</si>
  <si>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</si>
  <si>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</si>
  <si>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</si>
  <si>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</si>
  <si>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</si>
  <si>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</si>
  <si>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</si>
  <si>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</si>
  <si>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</si>
  <si>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</si>
  <si>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</si>
  <si>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</si>
  <si>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</si>
  <si>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</si>
  <si>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</si>
  <si>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</si>
  <si>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</si>
  <si>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</si>
  <si>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</si>
  <si>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</si>
  <si>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</si>
  <si>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</si>
  <si>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</si>
  <si>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</si>
  <si>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</si>
  <si>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</si>
  <si>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</si>
  <si>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</si>
  <si>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</si>
  <si>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</si>
  <si>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</si>
  <si>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</si>
  <si>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</si>
  <si>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</si>
  <si>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</si>
  <si>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</si>
  <si>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</si>
  <si>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</si>
  <si>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</si>
  <si>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</si>
  <si>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</si>
  <si>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</si>
  <si>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</si>
  <si>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</si>
  <si>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</si>
  <si>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</si>
  <si>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</si>
  <si>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</si>
  <si>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</si>
  <si>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</si>
  <si>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</si>
  <si>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</si>
  <si>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</si>
  <si>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</si>
  <si>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</si>
  <si>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</si>
  <si>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</si>
  <si>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</si>
  <si>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</si>
  <si>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</si>
  <si>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</si>
  <si>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</si>
  <si>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</si>
  <si>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</si>
  <si>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</si>
  <si>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</si>
  <si>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</si>
  <si>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</si>
  <si>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</si>
  <si>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</si>
  <si>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</si>
  <si>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</si>
  <si>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</si>
  <si>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</si>
  <si>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</si>
  <si>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</si>
  <si>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</si>
  <si>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</si>
  <si>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</si>
  <si>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</si>
  <si>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</si>
  <si>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</si>
  <si>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</si>
  <si>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</si>
  <si>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</si>
  <si>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</si>
  <si>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</si>
  <si>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</si>
  <si>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</si>
  <si>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</si>
  <si>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</si>
  <si>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</si>
  <si>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</si>
  <si>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</si>
  <si>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</si>
  <si>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</si>
  <si>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</si>
  <si>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</si>
  <si>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</si>
  <si>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</si>
  <si>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</si>
  <si>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</si>
  <si>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</si>
  <si>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</si>
  <si>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</si>
  <si>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</si>
  <si>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</si>
  <si>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</si>
  <si>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</si>
  <si>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</si>
  <si>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</si>
  <si>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</si>
  <si>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</si>
  <si>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</si>
  <si>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</si>
  <si>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</si>
  <si>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</si>
  <si>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</si>
  <si>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</si>
  <si>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</si>
  <si>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</si>
  <si>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</si>
  <si>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</si>
  <si>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</si>
  <si>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</si>
  <si>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</si>
  <si>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</si>
  <si>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</si>
  <si>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</si>
  <si>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</si>
  <si>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</si>
  <si>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</si>
  <si>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</si>
  <si>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</si>
  <si>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</si>
  <si>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</si>
  <si>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</si>
  <si>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</si>
  <si>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</si>
  <si>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</si>
  <si>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</si>
  <si>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</si>
  <si>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</si>
  <si>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</si>
  <si>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</si>
  <si>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</si>
  <si>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</si>
  <si>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</si>
  <si>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</si>
  <si>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</si>
  <si>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</si>
  <si>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</si>
  <si>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</si>
  <si>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</si>
  <si>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</si>
  <si>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</si>
  <si>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</si>
  <si>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</si>
  <si>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</si>
  <si>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</si>
  <si>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</si>
  <si>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</si>
  <si>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</si>
  <si>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</si>
  <si>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</si>
  <si>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</si>
  <si>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</si>
  <si>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</si>
  <si>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</si>
  <si>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</si>
  <si>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</si>
  <si>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</si>
  <si>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</si>
  <si>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</si>
  <si>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</si>
  <si>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</si>
  <si>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</si>
  <si>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</si>
  <si>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</si>
  <si>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</si>
  <si>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</si>
  <si>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</si>
  <si>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</si>
  <si>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</si>
  <si>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</si>
  <si>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</si>
  <si>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</si>
  <si>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</si>
  <si>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</si>
  <si>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</si>
  <si>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</si>
  <si>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</si>
  <si>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</si>
  <si>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</si>
  <si>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</si>
  <si>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</si>
  <si>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</si>
  <si>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</si>
  <si>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</si>
  <si>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</si>
  <si>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</si>
  <si>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</si>
  <si>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</si>
  <si>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</si>
  <si>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</si>
  <si>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</si>
  <si>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</si>
  <si>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</si>
  <si>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</si>
  <si>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</si>
  <si>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</si>
  <si>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</si>
  <si>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</si>
  <si>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</si>
  <si>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</si>
  <si>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</si>
  <si>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</si>
  <si>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</si>
  <si>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</si>
  <si>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</si>
  <si>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</si>
  <si>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</si>
  <si>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</si>
  <si>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</si>
  <si>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</si>
  <si>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</si>
  <si>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</si>
  <si>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</si>
  <si>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</si>
  <si>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</si>
  <si>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</si>
  <si>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</si>
  <si>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</si>
  <si>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</si>
  <si>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</si>
  <si>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</si>
  <si>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</si>
  <si>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</si>
  <si>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</si>
  <si>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</si>
  <si>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</si>
  <si>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</si>
  <si>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</si>
  <si>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</si>
  <si>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</si>
  <si>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</si>
  <si>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</si>
  <si>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</si>
  <si>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</si>
  <si>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</si>
  <si>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</si>
  <si>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</si>
  <si>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</si>
  <si>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</si>
  <si>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</si>
  <si>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</si>
  <si>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</si>
  <si>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</si>
  <si>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</si>
  <si>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</si>
  <si>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</si>
  <si>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</si>
  <si>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</si>
  <si>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</si>
  <si>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</si>
  <si>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</si>
  <si>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</si>
  <si>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</si>
  <si>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</si>
  <si>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</si>
  <si>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</si>
  <si>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</si>
  <si>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</si>
  <si>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</si>
  <si>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</si>
  <si>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</si>
  <si>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</si>
  <si>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</si>
  <si>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</si>
  <si>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</si>
  <si>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</si>
  <si>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</si>
  <si>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</si>
  <si>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</si>
  <si>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</si>
  <si>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</si>
  <si>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</si>
  <si>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</si>
  <si>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</si>
  <si>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</si>
  <si>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</si>
  <si>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</si>
  <si>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</si>
  <si>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</si>
  <si>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</si>
  <si>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</si>
  <si>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</si>
  <si>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</si>
  <si>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</si>
  <si>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</si>
  <si>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</si>
  <si>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</si>
  <si>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</si>
  <si>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</si>
  <si>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</si>
  <si>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</si>
  <si>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</si>
  <si>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</si>
  <si>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</si>
  <si>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</si>
  <si>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</si>
  <si>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</si>
  <si>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</si>
  <si>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</si>
  <si>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</si>
  <si>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</si>
  <si>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</si>
  <si>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</si>
  <si>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</si>
  <si>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</si>
  <si>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</si>
  <si>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</si>
  <si>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</si>
  <si>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</si>
  <si>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</si>
  <si>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</si>
  <si>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</si>
  <si>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</si>
  <si>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</si>
  <si>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</si>
  <si>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</si>
  <si>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</si>
  <si>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</si>
  <si>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</si>
  <si>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</si>
  <si>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</si>
  <si>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</si>
  <si>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</si>
  <si>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</si>
  <si>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</si>
  <si>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</si>
  <si>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</si>
  <si>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</si>
  <si>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</si>
  <si>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</si>
  <si>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</si>
  <si>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</si>
  <si>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</si>
  <si>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</si>
  <si>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</si>
  <si>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</si>
  <si>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</si>
  <si>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</si>
  <si>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</si>
  <si>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</si>
  <si>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</si>
  <si>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</si>
  <si>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</si>
  <si>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</si>
  <si>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</si>
  <si>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</si>
  <si>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</si>
  <si>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</si>
  <si>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</si>
  <si>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</si>
  <si>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</si>
  <si>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</si>
  <si>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</si>
  <si>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</si>
  <si>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</si>
  <si>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</si>
  <si>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</si>
  <si>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</si>
  <si>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</si>
  <si>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</si>
  <si>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</si>
  <si>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</si>
  <si>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</si>
  <si>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</si>
  <si>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</si>
  <si>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</si>
  <si>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</si>
  <si>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</si>
  <si>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</si>
  <si>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</si>
  <si>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</si>
  <si>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</si>
  <si>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</si>
  <si>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</si>
  <si>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</si>
  <si>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</si>
  <si>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</si>
  <si>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</si>
  <si>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</si>
  <si>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</si>
  <si>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</si>
  <si>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</si>
  <si>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</si>
  <si>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</si>
  <si>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</si>
  <si>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</si>
  <si>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</si>
  <si>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</si>
  <si>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</si>
  <si>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</si>
  <si>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</si>
  <si>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</si>
  <si>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</si>
  <si>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</si>
  <si>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</si>
  <si>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</si>
  <si>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</si>
  <si>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</si>
  <si>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</si>
  <si>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</si>
  <si>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</si>
  <si>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</si>
  <si>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</si>
  <si>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</si>
  <si>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</si>
  <si>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</si>
  <si>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</si>
  <si>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</si>
  <si>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</si>
  <si>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</si>
  <si>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</si>
  <si>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</si>
  <si>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</si>
  <si>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</si>
  <si>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</si>
  <si>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</si>
  <si>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</si>
  <si>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</si>
  <si>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</si>
  <si>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</si>
  <si>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</si>
  <si>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</si>
  <si>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</si>
  <si>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</si>
  <si>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</si>
  <si>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</si>
  <si>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</si>
  <si>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</si>
  <si>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</si>
  <si>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</si>
  <si>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</si>
  <si>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</si>
  <si>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</si>
  <si>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</si>
  <si>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</si>
  <si>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</si>
  <si>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</si>
  <si>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</si>
  <si>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</si>
  <si>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</si>
  <si>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</si>
  <si>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</si>
  <si>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</si>
  <si>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</si>
  <si>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</si>
  <si>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</si>
  <si>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</si>
  <si>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</si>
  <si>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</si>
  <si>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</si>
  <si>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</si>
  <si>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</si>
  <si>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</si>
  <si>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</si>
  <si>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</si>
  <si>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</si>
  <si>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</si>
  <si>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</si>
  <si>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</si>
  <si>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</si>
  <si>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</si>
  <si>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</si>
  <si>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</si>
  <si>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</si>
  <si>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</si>
  <si>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</si>
  <si>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</si>
  <si>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</si>
  <si>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</si>
  <si>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</si>
  <si>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</si>
  <si>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</si>
  <si>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</si>
  <si>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</si>
  <si>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</si>
  <si>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</si>
  <si>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</si>
  <si>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</si>
  <si>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</si>
  <si>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</si>
  <si>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</si>
  <si>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</si>
  <si>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</si>
  <si>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</si>
  <si>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</si>
  <si>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</si>
  <si>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</si>
  <si>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</si>
  <si>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</si>
  <si>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</si>
  <si>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</si>
  <si>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</si>
  <si>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</si>
  <si>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</si>
  <si>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</si>
  <si>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</si>
  <si>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</si>
  <si>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</si>
  <si>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</si>
  <si>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</si>
  <si>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</si>
  <si>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</si>
  <si>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</si>
  <si>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</si>
  <si>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</si>
  <si>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</si>
  <si>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</si>
  <si>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</si>
  <si>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</si>
  <si>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</si>
  <si>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</si>
  <si>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</si>
  <si>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</si>
  <si>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</si>
  <si>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</si>
  <si>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</si>
  <si>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</si>
  <si>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</si>
  <si>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</si>
  <si>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</si>
  <si>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</si>
  <si>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</si>
  <si>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</si>
  <si>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</si>
  <si>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</si>
  <si>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</si>
  <si>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</si>
  <si>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</si>
  <si>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</si>
  <si>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</si>
  <si>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</si>
  <si>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</si>
  <si>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</si>
  <si>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</si>
  <si>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</si>
  <si>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</si>
  <si>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</si>
  <si>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</si>
  <si>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</si>
  <si>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</si>
  <si>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</si>
  <si>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</si>
  <si>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</si>
  <si>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</si>
  <si>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</si>
  <si>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</si>
  <si>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</si>
  <si>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</si>
  <si>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</si>
  <si>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</si>
  <si>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</si>
  <si>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</si>
  <si>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</si>
  <si>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</si>
  <si>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</si>
  <si>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</si>
  <si>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</si>
  <si>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</si>
  <si>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</si>
  <si>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</si>
  <si>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</si>
  <si>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</si>
  <si>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</si>
  <si>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</si>
  <si>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</si>
  <si>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</si>
  <si>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</si>
  <si>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</si>
  <si>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</si>
  <si>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</si>
  <si>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</si>
  <si>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</si>
  <si>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</si>
  <si>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</si>
  <si>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</si>
  <si>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</si>
  <si>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</si>
  <si>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</si>
  <si>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</si>
  <si>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</si>
  <si>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</si>
  <si>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</si>
  <si>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</si>
  <si>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</si>
  <si>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</si>
  <si>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</si>
  <si>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</si>
  <si>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</si>
  <si>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</si>
  <si>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</si>
  <si>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</si>
  <si>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</si>
  <si>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</si>
  <si>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</si>
  <si>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</si>
  <si>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</si>
  <si>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</si>
  <si>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</si>
  <si>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</si>
  <si>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</si>
  <si>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</si>
  <si>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</si>
  <si>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</si>
  <si>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</si>
  <si>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</si>
  <si>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</si>
  <si>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</si>
  <si>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</si>
  <si>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</si>
  <si>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</si>
  <si>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</si>
  <si>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</si>
  <si>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</si>
  <si>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</si>
  <si>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</si>
  <si>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</si>
  <si>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</si>
  <si>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</si>
  <si>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</si>
  <si>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</si>
  <si>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</si>
  <si>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</si>
  <si>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</si>
  <si>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</si>
  <si>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</si>
  <si>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</si>
  <si>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</si>
  <si>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</si>
  <si>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</si>
  <si>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</si>
  <si>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</si>
  <si>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</si>
  <si>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</si>
  <si>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</si>
  <si>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</si>
  <si>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</si>
  <si>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</si>
  <si>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</si>
  <si>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</si>
  <si>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</si>
  <si>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</si>
  <si>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</si>
  <si>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</si>
  <si>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</si>
  <si>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</si>
  <si>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</si>
  <si>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</si>
  <si>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</si>
  <si>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</si>
  <si>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</si>
  <si>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</si>
  <si>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</si>
  <si>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</si>
  <si>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</si>
  <si>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</si>
  <si>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</si>
  <si>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</si>
  <si>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</si>
  <si>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</si>
  <si>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</si>
  <si>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</si>
  <si>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</si>
  <si>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</si>
  <si>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</si>
  <si>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</si>
  <si>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</si>
  <si>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</si>
  <si>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</si>
  <si>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</si>
  <si>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</si>
  <si>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</si>
  <si>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</si>
  <si>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</si>
  <si>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</si>
  <si>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</si>
  <si>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</si>
  <si>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</si>
  <si>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</si>
  <si>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</si>
  <si>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</si>
  <si>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</si>
  <si>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</si>
  <si>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</si>
  <si>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</si>
  <si>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</si>
  <si>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</si>
  <si>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</si>
  <si>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</si>
  <si>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</si>
  <si>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</si>
  <si>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</si>
  <si>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</si>
  <si>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</si>
  <si>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</si>
  <si>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</si>
  <si>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</si>
  <si>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</si>
  <si>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</si>
  <si>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</si>
  <si>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</si>
  <si>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</si>
  <si>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</si>
  <si>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</si>
  <si>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</si>
  <si>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</si>
  <si>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</si>
  <si>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</si>
  <si>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</si>
  <si>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</si>
  <si>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</si>
  <si>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</si>
  <si>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</si>
  <si>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</si>
  <si>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</si>
  <si>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</si>
  <si>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</si>
  <si>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</si>
  <si>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</si>
  <si>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</si>
  <si>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</si>
  <si>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</si>
  <si>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</si>
  <si>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</si>
  <si>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</si>
  <si>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</si>
  <si>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</si>
  <si>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</si>
  <si>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</si>
  <si>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</si>
  <si>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</si>
  <si>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</si>
  <si>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</si>
  <si>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</si>
  <si>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</si>
  <si>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</si>
  <si>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</si>
  <si>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</si>
  <si>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</si>
  <si>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</si>
  <si>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</si>
  <si>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</si>
  <si>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</si>
  <si>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</si>
  <si>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</si>
  <si>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</si>
  <si>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</si>
  <si>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</si>
  <si>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</si>
  <si>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</si>
  <si>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</si>
  <si>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</si>
  <si>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</si>
  <si>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</si>
  <si>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</si>
  <si>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</si>
  <si>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</si>
  <si>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</si>
  <si>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</si>
  <si>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</si>
  <si>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</si>
  <si>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</si>
  <si>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</si>
  <si>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</si>
  <si>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</si>
  <si>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</si>
  <si>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</si>
  <si>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</si>
  <si>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</si>
  <si>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</si>
  <si>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</si>
  <si>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</si>
  <si>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</si>
  <si>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</si>
  <si>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</si>
  <si>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</si>
  <si>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</si>
  <si>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</si>
  <si>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</si>
  <si>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</si>
  <si>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</si>
  <si>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</si>
  <si>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</si>
  <si>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</si>
  <si>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</si>
  <si>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</si>
  <si>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</si>
  <si>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</si>
  <si>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</si>
  <si>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</si>
  <si>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</si>
  <si>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</si>
  <si>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</si>
  <si>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</si>
  <si>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</si>
  <si>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</si>
  <si>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</si>
  <si>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</si>
  <si>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</si>
  <si>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</si>
  <si>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</si>
  <si>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</si>
  <si>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</si>
  <si>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</si>
  <si>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</si>
  <si>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</si>
  <si>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</si>
  <si>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</si>
  <si>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</si>
  <si>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</si>
  <si>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</si>
  <si>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</si>
  <si>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</si>
  <si>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</si>
  <si>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</si>
  <si>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</si>
  <si>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</si>
  <si>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</si>
  <si>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</si>
  <si>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</si>
  <si>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</si>
  <si>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</si>
  <si>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</si>
  <si>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</si>
  <si>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</si>
  <si>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</si>
  <si>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</si>
  <si>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</si>
  <si>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</si>
  <si>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</si>
  <si>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</si>
  <si>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</si>
  <si>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</si>
  <si>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</si>
  <si>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</si>
  <si>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</si>
  <si>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</si>
  <si>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</si>
  <si>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</si>
  <si>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</si>
  <si>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</si>
  <si>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</si>
  <si>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</si>
  <si>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</si>
  <si>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</si>
  <si>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</si>
  <si>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</si>
  <si>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</si>
  <si>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</si>
  <si>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</si>
  <si>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</si>
  <si>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</si>
  <si>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</si>
  <si>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</si>
  <si>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</si>
  <si>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</si>
  <si>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</si>
  <si>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</si>
  <si>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</si>
  <si>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</si>
  <si>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</si>
  <si>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</si>
  <si>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</si>
  <si>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</si>
  <si>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</si>
  <si>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</si>
  <si>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</si>
  <si>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</si>
  <si>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</si>
  <si>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</si>
  <si>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</si>
  <si>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</si>
  <si>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</si>
  <si>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</si>
  <si>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</si>
  <si>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</si>
  <si>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</si>
  <si>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</si>
  <si>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</si>
  <si>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</si>
  <si>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</si>
  <si>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</si>
  <si>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</si>
  <si>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</si>
  <si>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</si>
  <si>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</si>
  <si>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</si>
  <si>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</si>
  <si>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</si>
  <si>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</si>
  <si>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</si>
  <si>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</si>
  <si>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</si>
  <si>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</si>
  <si>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</si>
  <si>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</si>
  <si>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</si>
  <si>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</si>
  <si>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</si>
  <si>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</si>
  <si>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</si>
  <si>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</si>
  <si>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</si>
  <si>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</si>
  <si>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</si>
  <si>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</si>
  <si>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</si>
  <si>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</si>
  <si>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</si>
  <si>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</si>
  <si>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</si>
  <si>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</si>
  <si>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</si>
  <si>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</si>
  <si>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</si>
  <si>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</si>
  <si>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</si>
  <si>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</si>
  <si>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</si>
  <si>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</si>
  <si>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</si>
  <si>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</si>
  <si>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</si>
  <si>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</si>
  <si>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</si>
  <si>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</si>
  <si>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</si>
  <si>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</si>
  <si>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</si>
  <si>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</si>
  <si>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</si>
  <si>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</si>
  <si>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</si>
  <si>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</si>
  <si>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</si>
  <si>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</si>
  <si>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</si>
  <si>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</si>
  <si>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</si>
  <si>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</si>
  <si>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</si>
  <si>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</si>
  <si>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</si>
  <si>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</si>
  <si>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</si>
  <si>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</si>
  <si>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</si>
  <si>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</si>
  <si>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</si>
  <si>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</si>
  <si>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</si>
  <si>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</si>
  <si>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</si>
  <si>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</si>
  <si>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</si>
  <si>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</si>
  <si>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</si>
  <si>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</si>
  <si>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</si>
  <si>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</si>
  <si>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</si>
  <si>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</si>
  <si>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</si>
  <si>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</si>
  <si>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</si>
  <si>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</si>
  <si>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</si>
  <si>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</si>
  <si>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</si>
  <si>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</si>
  <si>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</si>
  <si>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</si>
  <si>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</si>
  <si>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</si>
  <si>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</si>
  <si>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</si>
  <si>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</si>
  <si>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</si>
  <si>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</si>
  <si>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</si>
  <si>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</si>
  <si>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</si>
  <si>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</si>
  <si>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</si>
  <si>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</si>
  <si>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</si>
  <si>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</si>
  <si>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</si>
  <si>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</si>
  <si>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</si>
  <si>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</si>
  <si>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</si>
  <si>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</si>
  <si>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</si>
  <si>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</si>
  <si>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</si>
  <si>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</si>
  <si>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</si>
  <si>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</si>
  <si>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</si>
  <si>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</si>
  <si>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</si>
  <si>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</si>
  <si>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</si>
  <si>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</si>
  <si>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</si>
  <si>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</si>
  <si>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</si>
  <si>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</si>
  <si>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</si>
  <si>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</si>
  <si>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</si>
  <si>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</si>
  <si>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</si>
  <si>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</si>
  <si>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</si>
  <si>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</si>
  <si>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</si>
  <si>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</si>
  <si>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</si>
  <si>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</si>
  <si>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</si>
  <si>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</si>
  <si>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</si>
  <si>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</si>
  <si>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</si>
  <si>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</si>
  <si>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</si>
  <si>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</si>
  <si>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</si>
  <si>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</si>
  <si>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</si>
  <si>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</si>
  <si>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</si>
  <si>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</si>
  <si>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</si>
  <si>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</si>
  <si>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</si>
  <si>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</si>
  <si>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</si>
  <si>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</si>
  <si>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</si>
  <si>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</si>
  <si>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</si>
  <si>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30000 to 34999</t>
  </si>
  <si>
    <t>35000 to 39999</t>
  </si>
  <si>
    <t>40000 to 44999</t>
  </si>
  <si>
    <t>45000 to 49999</t>
  </si>
  <si>
    <t>25000 to 29999</t>
  </si>
  <si>
    <t>Greater then 50000</t>
  </si>
  <si>
    <t>Less then 1000</t>
  </si>
  <si>
    <t>&lt;1000</t>
  </si>
  <si>
    <t>Row Labels</t>
  </si>
  <si>
    <t>Grand Total</t>
  </si>
  <si>
    <t>Sum of Number Failed</t>
  </si>
  <si>
    <t>Sum of Number Canceled</t>
  </si>
  <si>
    <t>Sum of successful</t>
  </si>
  <si>
    <t>Sum of Percentage Successful</t>
  </si>
  <si>
    <t>Sum of Percentage Failed</t>
  </si>
  <si>
    <t>Sum of Percentage canceled</t>
  </si>
  <si>
    <t xml:space="preserve"> &gt;50000</t>
  </si>
  <si>
    <t>Successful Campaigns</t>
  </si>
  <si>
    <t>Failed Campaigns</t>
  </si>
  <si>
    <t>Mean # of backers</t>
  </si>
  <si>
    <t>Median # of backers</t>
  </si>
  <si>
    <t>Max # of backers</t>
  </si>
  <si>
    <t>Min # of backers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</si>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</sst>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HW BONUS 1.xlsm]Sheet3!PivotTable7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Sum of Number 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Sheet3!$A$4:$A$16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then 50000</c:v>
                </c:pt>
                <c:pt idx="11">
                  <c:v>Less then 1000</c:v>
                </c:pt>
              </c:strCache>
            </c:strRef>
          </c:cat>
          <c:val>
            <c:numRef>
              <c:f>Sheet3!$B$4:$B$16</c:f>
              <c:numCache>
                <c:formatCode>General</c:formatCode>
                <c:ptCount val="12"/>
                <c:pt idx="0">
                  <c:v>420</c:v>
                </c:pt>
                <c:pt idx="1">
                  <c:v>144</c:v>
                </c:pt>
                <c:pt idx="2">
                  <c:v>90</c:v>
                </c:pt>
                <c:pt idx="3">
                  <c:v>72</c:v>
                </c:pt>
                <c:pt idx="4">
                  <c:v>64</c:v>
                </c:pt>
                <c:pt idx="5">
                  <c:v>37</c:v>
                </c:pt>
                <c:pt idx="6">
                  <c:v>22</c:v>
                </c:pt>
                <c:pt idx="7">
                  <c:v>16</c:v>
                </c:pt>
                <c:pt idx="8">
                  <c:v>11</c:v>
                </c:pt>
                <c:pt idx="9">
                  <c:v>283</c:v>
                </c:pt>
                <c:pt idx="10">
                  <c:v>258</c:v>
                </c:pt>
                <c:pt idx="1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F7-C948-9269-9DF935E51FB8}"/>
            </c:ext>
          </c:extLst>
        </c:ser>
        <c:ser>
          <c:idx val="1"/>
          <c:order val="1"/>
          <c:tx>
            <c:strRef>
              <c:f>Sheet3!$C$3</c:f>
              <c:strCache>
                <c:ptCount val="1"/>
                <c:pt idx="0">
                  <c:v>Sum of Number 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Sheet3!$A$4:$A$16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then 50000</c:v>
                </c:pt>
                <c:pt idx="11">
                  <c:v>Less then 1000</c:v>
                </c:pt>
              </c:strCache>
            </c:strRef>
          </c:cat>
          <c:val>
            <c:numRef>
              <c:f>Sheet3!$C$4:$C$16</c:f>
              <c:numCache>
                <c:formatCode>General</c:formatCode>
                <c:ptCount val="12"/>
                <c:pt idx="0">
                  <c:v>60</c:v>
                </c:pt>
                <c:pt idx="1">
                  <c:v>40</c:v>
                </c:pt>
                <c:pt idx="2">
                  <c:v>17</c:v>
                </c:pt>
                <c:pt idx="3">
                  <c:v>14</c:v>
                </c:pt>
                <c:pt idx="4">
                  <c:v>18</c:v>
                </c:pt>
                <c:pt idx="5">
                  <c:v>13</c:v>
                </c:pt>
                <c:pt idx="6">
                  <c:v>7</c:v>
                </c:pt>
                <c:pt idx="7">
                  <c:v>6</c:v>
                </c:pt>
                <c:pt idx="8">
                  <c:v>4</c:v>
                </c:pt>
                <c:pt idx="9">
                  <c:v>52</c:v>
                </c:pt>
                <c:pt idx="10">
                  <c:v>100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F7-C948-9269-9DF935E51FB8}"/>
            </c:ext>
          </c:extLst>
        </c:ser>
        <c:ser>
          <c:idx val="2"/>
          <c:order val="2"/>
          <c:tx>
            <c:strRef>
              <c:f>Sheet3!$D$3</c:f>
              <c:strCache>
                <c:ptCount val="1"/>
                <c:pt idx="0">
                  <c:v>Sum of 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Sheet3!$A$4:$A$16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then 50000</c:v>
                </c:pt>
                <c:pt idx="11">
                  <c:v>Less then 1000</c:v>
                </c:pt>
              </c:strCache>
            </c:strRef>
          </c:cat>
          <c:val>
            <c:numRef>
              <c:f>Sheet3!$D$4:$D$16</c:f>
              <c:numCache>
                <c:formatCode>General</c:formatCode>
                <c:ptCount val="12"/>
                <c:pt idx="0">
                  <c:v>932</c:v>
                </c:pt>
                <c:pt idx="1">
                  <c:v>168</c:v>
                </c:pt>
                <c:pt idx="2">
                  <c:v>94</c:v>
                </c:pt>
                <c:pt idx="3">
                  <c:v>62</c:v>
                </c:pt>
                <c:pt idx="4">
                  <c:v>55</c:v>
                </c:pt>
                <c:pt idx="5">
                  <c:v>32</c:v>
                </c:pt>
                <c:pt idx="6">
                  <c:v>26</c:v>
                </c:pt>
                <c:pt idx="7">
                  <c:v>21</c:v>
                </c:pt>
                <c:pt idx="8">
                  <c:v>6</c:v>
                </c:pt>
                <c:pt idx="9">
                  <c:v>381</c:v>
                </c:pt>
                <c:pt idx="10">
                  <c:v>86</c:v>
                </c:pt>
                <c:pt idx="11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F7-C948-9269-9DF935E51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4590912"/>
        <c:axId val="1664316560"/>
      </c:lineChart>
      <c:catAx>
        <c:axId val="172459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316560"/>
        <c:crosses val="autoZero"/>
        <c:auto val="1"/>
        <c:lblAlgn val="ctr"/>
        <c:lblOffset val="100"/>
        <c:noMultiLvlLbl val="0"/>
      </c:catAx>
      <c:valAx>
        <c:axId val="16643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59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HW BONUS 1.xlsm]Sheet3!PivotTable8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Sheet3!$B$21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Sheet3!$A$22:$A$34</c:f>
              <c:strCache>
                <c:ptCount val="12"/>
                <c:pt idx="0">
                  <c:v>5000 to 9999</c:v>
                </c:pt>
                <c:pt idx="1">
                  <c:v>45000 to 49999</c:v>
                </c:pt>
                <c:pt idx="2">
                  <c:v>40000 to 44999</c:v>
                </c:pt>
                <c:pt idx="3">
                  <c:v>35000 to 39999</c:v>
                </c:pt>
                <c:pt idx="4">
                  <c:v>30000 to 34999</c:v>
                </c:pt>
                <c:pt idx="5">
                  <c:v>25000 to 29999</c:v>
                </c:pt>
                <c:pt idx="6">
                  <c:v>20000 to 24999</c:v>
                </c:pt>
                <c:pt idx="7">
                  <c:v>15000 to 19999</c:v>
                </c:pt>
                <c:pt idx="8">
                  <c:v>10000 to 14999</c:v>
                </c:pt>
                <c:pt idx="9">
                  <c:v>1000 to 4999</c:v>
                </c:pt>
                <c:pt idx="10">
                  <c:v>&lt;1000</c:v>
                </c:pt>
                <c:pt idx="11">
                  <c:v> &gt;50000</c:v>
                </c:pt>
              </c:strCache>
            </c:strRef>
          </c:cat>
          <c:val>
            <c:numRef>
              <c:f>Sheet3!$B$22:$B$34</c:f>
              <c:numCache>
                <c:formatCode>General</c:formatCode>
                <c:ptCount val="12"/>
                <c:pt idx="0">
                  <c:v>7.2625698324022352</c:v>
                </c:pt>
                <c:pt idx="1">
                  <c:v>19.047619047619047</c:v>
                </c:pt>
                <c:pt idx="2">
                  <c:v>13.953488372093023</c:v>
                </c:pt>
                <c:pt idx="3">
                  <c:v>12.727272727272727</c:v>
                </c:pt>
                <c:pt idx="4">
                  <c:v>15.853658536585366</c:v>
                </c:pt>
                <c:pt idx="5">
                  <c:v>13.138686131386862</c:v>
                </c:pt>
                <c:pt idx="6">
                  <c:v>9.4594594594594597</c:v>
                </c:pt>
                <c:pt idx="7">
                  <c:v>8.4577114427860707</c:v>
                </c:pt>
                <c:pt idx="8">
                  <c:v>11.363636363636363</c:v>
                </c:pt>
                <c:pt idx="9">
                  <c:v>4.2492917847025495</c:v>
                </c:pt>
                <c:pt idx="10">
                  <c:v>3.9735099337748347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F-5148-96B3-F3F6EC7EA585}"/>
            </c:ext>
          </c:extLst>
        </c:ser>
        <c:ser>
          <c:idx val="1"/>
          <c:order val="1"/>
          <c:tx>
            <c:strRef>
              <c:f>Sheet3!$C$21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Sheet3!$A$22:$A$34</c:f>
              <c:strCache>
                <c:ptCount val="12"/>
                <c:pt idx="0">
                  <c:v>5000 to 9999</c:v>
                </c:pt>
                <c:pt idx="1">
                  <c:v>45000 to 49999</c:v>
                </c:pt>
                <c:pt idx="2">
                  <c:v>40000 to 44999</c:v>
                </c:pt>
                <c:pt idx="3">
                  <c:v>35000 to 39999</c:v>
                </c:pt>
                <c:pt idx="4">
                  <c:v>30000 to 34999</c:v>
                </c:pt>
                <c:pt idx="5">
                  <c:v>25000 to 29999</c:v>
                </c:pt>
                <c:pt idx="6">
                  <c:v>20000 to 24999</c:v>
                </c:pt>
                <c:pt idx="7">
                  <c:v>15000 to 19999</c:v>
                </c:pt>
                <c:pt idx="8">
                  <c:v>10000 to 14999</c:v>
                </c:pt>
                <c:pt idx="9">
                  <c:v>1000 to 4999</c:v>
                </c:pt>
                <c:pt idx="10">
                  <c:v>&lt;1000</c:v>
                </c:pt>
                <c:pt idx="11">
                  <c:v> &gt;50000</c:v>
                </c:pt>
              </c:strCache>
            </c:strRef>
          </c:cat>
          <c:val>
            <c:numRef>
              <c:f>Sheet3!$C$22:$C$34</c:f>
              <c:numCache>
                <c:formatCode>General</c:formatCode>
                <c:ptCount val="12"/>
                <c:pt idx="0">
                  <c:v>39.52513966480447</c:v>
                </c:pt>
                <c:pt idx="1">
                  <c:v>52.380952380952387</c:v>
                </c:pt>
                <c:pt idx="2">
                  <c:v>37.209302325581397</c:v>
                </c:pt>
                <c:pt idx="3">
                  <c:v>40</c:v>
                </c:pt>
                <c:pt idx="4">
                  <c:v>45.121951219512198</c:v>
                </c:pt>
                <c:pt idx="5">
                  <c:v>46.715328467153284</c:v>
                </c:pt>
                <c:pt idx="6">
                  <c:v>48.648648648648653</c:v>
                </c:pt>
                <c:pt idx="7">
                  <c:v>44.776119402985074</c:v>
                </c:pt>
                <c:pt idx="8">
                  <c:v>40.909090909090914</c:v>
                </c:pt>
                <c:pt idx="9">
                  <c:v>29.745042492917843</c:v>
                </c:pt>
                <c:pt idx="10">
                  <c:v>24.944812362030905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8F-5148-96B3-F3F6EC7EA585}"/>
            </c:ext>
          </c:extLst>
        </c:ser>
        <c:ser>
          <c:idx val="2"/>
          <c:order val="2"/>
          <c:tx>
            <c:strRef>
              <c:f>Sheet3!$D$21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Sheet3!$A$22:$A$34</c:f>
              <c:strCache>
                <c:ptCount val="12"/>
                <c:pt idx="0">
                  <c:v>5000 to 9999</c:v>
                </c:pt>
                <c:pt idx="1">
                  <c:v>45000 to 49999</c:v>
                </c:pt>
                <c:pt idx="2">
                  <c:v>40000 to 44999</c:v>
                </c:pt>
                <c:pt idx="3">
                  <c:v>35000 to 39999</c:v>
                </c:pt>
                <c:pt idx="4">
                  <c:v>30000 to 34999</c:v>
                </c:pt>
                <c:pt idx="5">
                  <c:v>25000 to 29999</c:v>
                </c:pt>
                <c:pt idx="6">
                  <c:v>20000 to 24999</c:v>
                </c:pt>
                <c:pt idx="7">
                  <c:v>15000 to 19999</c:v>
                </c:pt>
                <c:pt idx="8">
                  <c:v>10000 to 14999</c:v>
                </c:pt>
                <c:pt idx="9">
                  <c:v>1000 to 4999</c:v>
                </c:pt>
                <c:pt idx="10">
                  <c:v>&lt;1000</c:v>
                </c:pt>
                <c:pt idx="11">
                  <c:v> &gt;50000</c:v>
                </c:pt>
              </c:strCache>
            </c:strRef>
          </c:cat>
          <c:val>
            <c:numRef>
              <c:f>Sheet3!$D$22:$D$34</c:f>
              <c:numCache>
                <c:formatCode>General</c:formatCode>
                <c:ptCount val="12"/>
                <c:pt idx="0">
                  <c:v>53.212290502793294</c:v>
                </c:pt>
                <c:pt idx="1">
                  <c:v>28.571428571428569</c:v>
                </c:pt>
                <c:pt idx="2">
                  <c:v>48.837209302325576</c:v>
                </c:pt>
                <c:pt idx="3">
                  <c:v>47.272727272727273</c:v>
                </c:pt>
                <c:pt idx="4">
                  <c:v>39.024390243902438</c:v>
                </c:pt>
                <c:pt idx="5">
                  <c:v>40.145985401459853</c:v>
                </c:pt>
                <c:pt idx="6">
                  <c:v>41.891891891891895</c:v>
                </c:pt>
                <c:pt idx="7">
                  <c:v>46.766169154228855</c:v>
                </c:pt>
                <c:pt idx="8">
                  <c:v>47.727272727272727</c:v>
                </c:pt>
                <c:pt idx="9">
                  <c:v>66.005665722379604</c:v>
                </c:pt>
                <c:pt idx="10">
                  <c:v>71.081677704194263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8F-5148-96B3-F3F6EC7EA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5989248"/>
        <c:axId val="1766093040"/>
      </c:lineChart>
      <c:catAx>
        <c:axId val="16159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93040"/>
        <c:crosses val="autoZero"/>
        <c:auto val="1"/>
        <c:lblAlgn val="ctr"/>
        <c:lblOffset val="100"/>
        <c:noMultiLvlLbl val="0"/>
      </c:catAx>
      <c:valAx>
        <c:axId val="176609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9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50000</c:v>
                </c:pt>
              </c:strCache>
            </c:strRef>
          </c:cat>
          <c:val>
            <c:numRef>
              <c:f>Sheet2!$F$2:$F$13</c:f>
              <c:numCache>
                <c:formatCode>0.0</c:formatCode>
                <c:ptCount val="12"/>
                <c:pt idx="0">
                  <c:v>71.081677704194263</c:v>
                </c:pt>
                <c:pt idx="1">
                  <c:v>66.005665722379604</c:v>
                </c:pt>
                <c:pt idx="2">
                  <c:v>53.212290502793294</c:v>
                </c:pt>
                <c:pt idx="3">
                  <c:v>47.727272727272727</c:v>
                </c:pt>
                <c:pt idx="4">
                  <c:v>46.766169154228855</c:v>
                </c:pt>
                <c:pt idx="5">
                  <c:v>41.891891891891895</c:v>
                </c:pt>
                <c:pt idx="6">
                  <c:v>40.145985401459853</c:v>
                </c:pt>
                <c:pt idx="7">
                  <c:v>39.024390243902438</c:v>
                </c:pt>
                <c:pt idx="8">
                  <c:v>47.272727272727273</c:v>
                </c:pt>
                <c:pt idx="9">
                  <c:v>48.837209302325576</c:v>
                </c:pt>
                <c:pt idx="10">
                  <c:v>28.571428571428569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C-A74C-8D9D-9F4A15DA8D6E}"/>
            </c:ext>
          </c:extLst>
        </c:ser>
        <c:ser>
          <c:idx val="1"/>
          <c:order val="1"/>
          <c:tx>
            <c:strRef>
              <c:f>Sheet2!$G$1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50000</c:v>
                </c:pt>
              </c:strCache>
            </c:strRef>
          </c:cat>
          <c:val>
            <c:numRef>
              <c:f>Sheet2!$G$2:$G$13</c:f>
              <c:numCache>
                <c:formatCode>0.0</c:formatCode>
                <c:ptCount val="12"/>
                <c:pt idx="0">
                  <c:v>24.944812362030905</c:v>
                </c:pt>
                <c:pt idx="1">
                  <c:v>29.745042492917843</c:v>
                </c:pt>
                <c:pt idx="2">
                  <c:v>39.52513966480447</c:v>
                </c:pt>
                <c:pt idx="3">
                  <c:v>40.909090909090914</c:v>
                </c:pt>
                <c:pt idx="4">
                  <c:v>44.776119402985074</c:v>
                </c:pt>
                <c:pt idx="5">
                  <c:v>48.648648648648653</c:v>
                </c:pt>
                <c:pt idx="6">
                  <c:v>46.715328467153284</c:v>
                </c:pt>
                <c:pt idx="7">
                  <c:v>45.121951219512198</c:v>
                </c:pt>
                <c:pt idx="8">
                  <c:v>40</c:v>
                </c:pt>
                <c:pt idx="9">
                  <c:v>37.209302325581397</c:v>
                </c:pt>
                <c:pt idx="10">
                  <c:v>52.380952380952387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3C-A74C-8D9D-9F4A15DA8D6E}"/>
            </c:ext>
          </c:extLst>
        </c:ser>
        <c:ser>
          <c:idx val="2"/>
          <c:order val="2"/>
          <c:tx>
            <c:strRef>
              <c:f>Sheet2!$H$1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50000</c:v>
                </c:pt>
              </c:strCache>
            </c:strRef>
          </c:cat>
          <c:val>
            <c:numRef>
              <c:f>Sheet2!$H$2:$H$13</c:f>
              <c:numCache>
                <c:formatCode>0.0</c:formatCode>
                <c:ptCount val="12"/>
                <c:pt idx="0">
                  <c:v>3.9735099337748347</c:v>
                </c:pt>
                <c:pt idx="1">
                  <c:v>4.2492917847025495</c:v>
                </c:pt>
                <c:pt idx="2">
                  <c:v>7.2625698324022352</c:v>
                </c:pt>
                <c:pt idx="3">
                  <c:v>11.363636363636363</c:v>
                </c:pt>
                <c:pt idx="4">
                  <c:v>8.4577114427860707</c:v>
                </c:pt>
                <c:pt idx="5">
                  <c:v>9.4594594594594597</c:v>
                </c:pt>
                <c:pt idx="6">
                  <c:v>13.138686131386862</c:v>
                </c:pt>
                <c:pt idx="7">
                  <c:v>15.853658536585366</c:v>
                </c:pt>
                <c:pt idx="8">
                  <c:v>12.727272727272727</c:v>
                </c:pt>
                <c:pt idx="9">
                  <c:v>13.953488372093023</c:v>
                </c:pt>
                <c:pt idx="10">
                  <c:v>19.047619047619047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3C-A74C-8D9D-9F4A15DA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7090592"/>
        <c:axId val="1786434032"/>
      </c:lineChart>
      <c:catAx>
        <c:axId val="17170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34032"/>
        <c:crosses val="autoZero"/>
        <c:auto val="1"/>
        <c:lblAlgn val="ctr"/>
        <c:lblOffset val="100"/>
        <c:noMultiLvlLbl val="0"/>
      </c:catAx>
      <c:valAx>
        <c:axId val="17864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0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1</xdr:row>
      <xdr:rowOff>184150</xdr:rowOff>
    </xdr:from>
    <xdr:to>
      <xdr:col>9</xdr:col>
      <xdr:colOff>723900</xdr:colOff>
      <xdr:row>16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DDBA54-94B1-8C45-8397-C698C877B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171450</xdr:rowOff>
    </xdr:from>
    <xdr:to>
      <xdr:col>5</xdr:col>
      <xdr:colOff>381000</xdr:colOff>
      <xdr:row>49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91AB29-34C8-8941-A943-4294F21DF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15</xdr:row>
      <xdr:rowOff>31750</xdr:rowOff>
    </xdr:from>
    <xdr:to>
      <xdr:col>8</xdr:col>
      <xdr:colOff>38100</xdr:colOff>
      <xdr:row>31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1664B2-C3C8-504B-9F09-EF42321AB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959.747285069447" createdVersion="6" refreshedVersion="6" minRefreshableVersion="3" recordCount="12" xr:uid="{BF3C7C4C-5991-8949-A51D-279C4A5C9DA7}">
  <cacheSource type="worksheet">
    <worksheetSource ref="A1:H13" sheet="Sheet2"/>
  </cacheSource>
  <cacheFields count="8">
    <cacheField name="Goal" numFmtId="0">
      <sharedItems count="12">
        <s v="Less the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en 50000"/>
      </sharedItems>
    </cacheField>
    <cacheField name="successful" numFmtId="0">
      <sharedItems containsSemiMixedTypes="0" containsString="0" containsNumber="1" containsInteger="1" minValue="6" maxValue="932"/>
    </cacheField>
    <cacheField name="Number Failed" numFmtId="0">
      <sharedItems containsSemiMixedTypes="0" containsString="0" containsNumber="1" containsInteger="1" minValue="11" maxValue="420" count="12">
        <n v="113"/>
        <n v="420"/>
        <n v="283"/>
        <n v="144"/>
        <n v="90"/>
        <n v="72"/>
        <n v="64"/>
        <n v="37"/>
        <n v="22"/>
        <n v="16"/>
        <n v="11"/>
        <n v="258"/>
      </sharedItems>
    </cacheField>
    <cacheField name="Number Canceled" numFmtId="0">
      <sharedItems containsSemiMixedTypes="0" containsString="0" containsNumber="1" containsInteger="1" minValue="4" maxValue="100" count="11">
        <n v="18"/>
        <n v="60"/>
        <n v="52"/>
        <n v="40"/>
        <n v="17"/>
        <n v="14"/>
        <n v="13"/>
        <n v="7"/>
        <n v="6"/>
        <n v="4"/>
        <n v="100"/>
      </sharedItems>
    </cacheField>
    <cacheField name="Total projects" numFmtId="0">
      <sharedItems containsSemiMixedTypes="0" containsString="0" containsNumber="1" containsInteger="1" minValue="21" maxValue="1412"/>
    </cacheField>
    <cacheField name="Percentage Successful" numFmtId="164">
      <sharedItems containsSemiMixedTypes="0" containsString="0" containsNumber="1" minValue="19.36936936936937" maxValue="71.081677704194263" count="12">
        <n v="71.081677704194263"/>
        <n v="66.005665722379604"/>
        <n v="53.212290502793294"/>
        <n v="47.727272727272727"/>
        <n v="46.766169154228855"/>
        <n v="41.891891891891895"/>
        <n v="40.145985401459853"/>
        <n v="39.024390243902438"/>
        <n v="47.272727272727273"/>
        <n v="48.837209302325576"/>
        <n v="28.571428571428569"/>
        <n v="19.36936936936937"/>
      </sharedItems>
    </cacheField>
    <cacheField name="Percentage Failed" numFmtId="164">
      <sharedItems containsSemiMixedTypes="0" containsString="0" containsNumber="1" minValue="24.944812362030905" maxValue="58.108108108108105" count="12">
        <n v="24.944812362030905"/>
        <n v="29.745042492917843"/>
        <n v="39.52513966480447"/>
        <n v="40.909090909090914"/>
        <n v="44.776119402985074"/>
        <n v="48.648648648648653"/>
        <n v="46.715328467153284"/>
        <n v="45.121951219512198"/>
        <n v="40"/>
        <n v="37.209302325581397"/>
        <n v="52.380952380952387"/>
        <n v="58.108108108108105"/>
      </sharedItems>
    </cacheField>
    <cacheField name="Percentage canceled" numFmtId="164">
      <sharedItems containsSemiMixedTypes="0" containsString="0" containsNumber="1" minValue="3.9735099337748347" maxValue="22.522522522522522" count="12">
        <n v="3.9735099337748347"/>
        <n v="4.2492917847025495"/>
        <n v="7.2625698324022352"/>
        <n v="11.363636363636363"/>
        <n v="8.4577114427860707"/>
        <n v="9.4594594594594597"/>
        <n v="13.138686131386862"/>
        <n v="15.853658536585366"/>
        <n v="12.727272727272727"/>
        <n v="13.953488372093023"/>
        <n v="19.047619047619047"/>
        <n v="22.5225225225225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22"/>
    <x v="0"/>
    <x v="0"/>
    <n v="453"/>
    <x v="0"/>
    <x v="0"/>
    <x v="0"/>
  </r>
  <r>
    <x v="1"/>
    <n v="932"/>
    <x v="1"/>
    <x v="1"/>
    <n v="1412"/>
    <x v="1"/>
    <x v="1"/>
    <x v="1"/>
  </r>
  <r>
    <x v="2"/>
    <n v="381"/>
    <x v="2"/>
    <x v="2"/>
    <n v="716"/>
    <x v="2"/>
    <x v="2"/>
    <x v="2"/>
  </r>
  <r>
    <x v="3"/>
    <n v="168"/>
    <x v="3"/>
    <x v="3"/>
    <n v="352"/>
    <x v="3"/>
    <x v="3"/>
    <x v="3"/>
  </r>
  <r>
    <x v="4"/>
    <n v="94"/>
    <x v="4"/>
    <x v="4"/>
    <n v="201"/>
    <x v="4"/>
    <x v="4"/>
    <x v="4"/>
  </r>
  <r>
    <x v="5"/>
    <n v="62"/>
    <x v="5"/>
    <x v="5"/>
    <n v="148"/>
    <x v="5"/>
    <x v="5"/>
    <x v="5"/>
  </r>
  <r>
    <x v="6"/>
    <n v="55"/>
    <x v="6"/>
    <x v="0"/>
    <n v="137"/>
    <x v="6"/>
    <x v="6"/>
    <x v="6"/>
  </r>
  <r>
    <x v="7"/>
    <n v="32"/>
    <x v="7"/>
    <x v="6"/>
    <n v="82"/>
    <x v="7"/>
    <x v="7"/>
    <x v="7"/>
  </r>
  <r>
    <x v="8"/>
    <n v="26"/>
    <x v="8"/>
    <x v="7"/>
    <n v="55"/>
    <x v="8"/>
    <x v="8"/>
    <x v="8"/>
  </r>
  <r>
    <x v="9"/>
    <n v="21"/>
    <x v="9"/>
    <x v="8"/>
    <n v="43"/>
    <x v="9"/>
    <x v="9"/>
    <x v="9"/>
  </r>
  <r>
    <x v="10"/>
    <n v="6"/>
    <x v="10"/>
    <x v="9"/>
    <n v="21"/>
    <x v="10"/>
    <x v="10"/>
    <x v="10"/>
  </r>
  <r>
    <x v="11"/>
    <n v="86"/>
    <x v="11"/>
    <x v="10"/>
    <n v="444"/>
    <x v="11"/>
    <x v="1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32961-4427-6042-8949-EDECBC08F8EB}" name="PivotTable8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1:D34" firstHeaderRow="0" firstDataRow="1" firstDataCol="1"/>
  <pivotFields count="8">
    <pivotField axis="axisRow" showAll="0" sortType="descending">
      <items count="13">
        <item x="2"/>
        <item x="10"/>
        <item x="9"/>
        <item x="8"/>
        <item x="7"/>
        <item x="6"/>
        <item x="5"/>
        <item x="4"/>
        <item x="3"/>
        <item x="1"/>
        <item n="&lt;1000" x="0"/>
        <item n=" &gt;50000" x="11"/>
        <item t="default"/>
      </items>
    </pivotField>
    <pivotField showAll="0"/>
    <pivotField showAll="0"/>
    <pivotField showAll="0"/>
    <pivotField showAll="0"/>
    <pivotField dataField="1" numFmtId="164" showAll="0">
      <items count="13">
        <item x="11"/>
        <item x="10"/>
        <item x="7"/>
        <item x="6"/>
        <item x="5"/>
        <item x="4"/>
        <item x="8"/>
        <item x="3"/>
        <item x="9"/>
        <item x="2"/>
        <item x="1"/>
        <item x="0"/>
        <item t="default"/>
      </items>
    </pivotField>
    <pivotField dataField="1" numFmtId="164" showAll="0">
      <items count="13">
        <item x="0"/>
        <item x="1"/>
        <item x="9"/>
        <item x="2"/>
        <item x="8"/>
        <item x="3"/>
        <item x="4"/>
        <item x="7"/>
        <item x="6"/>
        <item x="5"/>
        <item x="10"/>
        <item x="11"/>
        <item t="default"/>
      </items>
    </pivotField>
    <pivotField dataField="1" numFmtId="164" showAll="0">
      <items count="13">
        <item x="0"/>
        <item x="1"/>
        <item x="2"/>
        <item x="4"/>
        <item x="5"/>
        <item x="3"/>
        <item x="8"/>
        <item x="6"/>
        <item x="9"/>
        <item x="7"/>
        <item x="10"/>
        <item x="11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canceled" fld="7" baseField="0" baseItem="0"/>
    <dataField name="Sum of Percentage Failed" fld="6" baseField="0" baseItem="0"/>
    <dataField name="Sum of Percentage Successful" fld="5" baseField="0" baseItem="0"/>
  </dataFields>
  <chartFormats count="3">
    <chartFormat chart="0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7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733806-1F16-8A4F-AEE7-8E6D92FDF728}" name="PivotTable7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D16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dataField="1" showAll="0"/>
    <pivotField dataField="1" showAll="0">
      <items count="13">
        <item x="10"/>
        <item x="9"/>
        <item x="8"/>
        <item x="7"/>
        <item x="6"/>
        <item x="5"/>
        <item x="4"/>
        <item x="0"/>
        <item x="3"/>
        <item x="11"/>
        <item x="2"/>
        <item x="1"/>
        <item t="default"/>
      </items>
    </pivotField>
    <pivotField dataField="1" showAll="0">
      <items count="12">
        <item x="9"/>
        <item x="8"/>
        <item x="7"/>
        <item x="6"/>
        <item x="5"/>
        <item x="4"/>
        <item x="0"/>
        <item x="3"/>
        <item x="2"/>
        <item x="1"/>
        <item x="10"/>
        <item t="default"/>
      </items>
    </pivotField>
    <pivotField showAll="0"/>
    <pivotField numFmtId="164" showAll="0"/>
    <pivotField numFmtId="164" showAll="0"/>
    <pivotField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Failed" fld="2" baseField="0" baseItem="0"/>
    <dataField name="Sum of Number Canceled" fld="3" baseField="0" baseItem="0"/>
    <dataField name="Sum of successful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15"/>
  <sheetViews>
    <sheetView topLeftCell="B1" zoomScale="55" zoomScaleNormal="55" workbookViewId="0">
      <selection activeCell="F1" activeCellId="1" sqref="L1:L1048576 F1:F1048576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</cols>
  <sheetData>
    <row r="1" spans="1:14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</row>
    <row r="2" spans="1:14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</row>
    <row r="3" spans="1:14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</row>
    <row r="4" spans="1:14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</row>
    <row r="5" spans="1:14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</row>
    <row r="6" spans="1:14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</row>
    <row r="7" spans="1:14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</row>
    <row r="8" spans="1:14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</row>
    <row r="9" spans="1:14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</row>
    <row r="10" spans="1:14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</row>
    <row r="11" spans="1:14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</row>
    <row r="12" spans="1:14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</row>
    <row r="13" spans="1:14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</row>
    <row r="14" spans="1:14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</row>
    <row r="15" spans="1:14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</row>
    <row r="16" spans="1:14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</row>
    <row r="17" spans="1:14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</row>
    <row r="18" spans="1:14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</row>
    <row r="19" spans="1:14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</row>
    <row r="20" spans="1:14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</row>
    <row r="21" spans="1:14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</row>
    <row r="22" spans="1:14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</row>
    <row r="23" spans="1:14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</row>
    <row r="24" spans="1:14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</row>
    <row r="25" spans="1:14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</row>
    <row r="26" spans="1:14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</row>
    <row r="27" spans="1:14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</row>
    <row r="28" spans="1:14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</row>
    <row r="29" spans="1:14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</row>
    <row r="30" spans="1:14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</row>
    <row r="31" spans="1:14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</row>
    <row r="32" spans="1:14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</row>
    <row r="33" spans="1:14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</row>
    <row r="34" spans="1:14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</row>
    <row r="35" spans="1:14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</row>
    <row r="36" spans="1:14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</row>
    <row r="37" spans="1:14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</row>
    <row r="38" spans="1:14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</row>
    <row r="39" spans="1:14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</row>
    <row r="40" spans="1:14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</row>
    <row r="41" spans="1:14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</row>
    <row r="42" spans="1:14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</row>
    <row r="43" spans="1:14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</row>
    <row r="44" spans="1:14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</row>
    <row r="45" spans="1:14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</row>
    <row r="46" spans="1:14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</row>
    <row r="47" spans="1:14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</row>
    <row r="48" spans="1:14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</row>
    <row r="49" spans="1:14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</row>
    <row r="50" spans="1:14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</row>
    <row r="51" spans="1:14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</row>
    <row r="52" spans="1:14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</row>
    <row r="53" spans="1:14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</row>
    <row r="54" spans="1:14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</row>
    <row r="55" spans="1:14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</row>
    <row r="56" spans="1:14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</row>
    <row r="57" spans="1:14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</row>
    <row r="58" spans="1:14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</row>
    <row r="59" spans="1:14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</row>
    <row r="60" spans="1:14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</row>
    <row r="61" spans="1:14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</row>
    <row r="62" spans="1:14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</row>
    <row r="63" spans="1:14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</row>
    <row r="64" spans="1:14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</row>
    <row r="65" spans="1:14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</row>
    <row r="66" spans="1:14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</row>
    <row r="67" spans="1:14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</row>
    <row r="68" spans="1:14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</row>
    <row r="69" spans="1:14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</row>
    <row r="70" spans="1:14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</row>
    <row r="71" spans="1:14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</row>
    <row r="72" spans="1:14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</row>
    <row r="73" spans="1:14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</row>
    <row r="74" spans="1:14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</row>
    <row r="75" spans="1:14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</row>
    <row r="76" spans="1:14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</row>
    <row r="77" spans="1:14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</row>
    <row r="78" spans="1:14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</row>
    <row r="79" spans="1:14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</row>
    <row r="80" spans="1:14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</row>
    <row r="81" spans="1:14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</row>
    <row r="82" spans="1:14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</row>
    <row r="83" spans="1:14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</row>
    <row r="84" spans="1:14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</row>
    <row r="85" spans="1:14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</row>
    <row r="86" spans="1:14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</row>
    <row r="87" spans="1:14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</row>
    <row r="88" spans="1:14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</row>
    <row r="89" spans="1:14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</row>
    <row r="90" spans="1:14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</row>
    <row r="91" spans="1:14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</row>
    <row r="92" spans="1:14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</row>
    <row r="93" spans="1:14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</row>
    <row r="94" spans="1:14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</row>
    <row r="95" spans="1:14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</row>
    <row r="96" spans="1:14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</row>
    <row r="97" spans="1:14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</row>
    <row r="98" spans="1:14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</row>
    <row r="99" spans="1:14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</row>
    <row r="100" spans="1:14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</row>
    <row r="101" spans="1:14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</row>
    <row r="102" spans="1:14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</row>
    <row r="103" spans="1:14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</row>
    <row r="104" spans="1:14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</row>
    <row r="105" spans="1:14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</row>
    <row r="106" spans="1:14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</row>
    <row r="107" spans="1:14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</row>
    <row r="108" spans="1:14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</row>
    <row r="109" spans="1:14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</row>
    <row r="110" spans="1:14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</row>
    <row r="111" spans="1:14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</row>
    <row r="112" spans="1:14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</row>
    <row r="113" spans="1:14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</row>
    <row r="114" spans="1:14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</row>
    <row r="115" spans="1:14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</row>
    <row r="116" spans="1:14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</row>
    <row r="117" spans="1:14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</row>
    <row r="118" spans="1:14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</row>
    <row r="119" spans="1:14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</row>
    <row r="120" spans="1:14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</row>
    <row r="121" spans="1:14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</row>
    <row r="122" spans="1:14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</row>
    <row r="123" spans="1:14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</row>
    <row r="124" spans="1:14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</row>
    <row r="125" spans="1:14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</row>
    <row r="126" spans="1:14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</row>
    <row r="127" spans="1:14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</row>
    <row r="128" spans="1:14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</row>
    <row r="129" spans="1:14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</row>
    <row r="130" spans="1:14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</row>
    <row r="131" spans="1:14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</row>
    <row r="132" spans="1:14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</row>
    <row r="133" spans="1:14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</row>
    <row r="134" spans="1:14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</row>
    <row r="135" spans="1:14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</row>
    <row r="136" spans="1:14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</row>
    <row r="137" spans="1:14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</row>
    <row r="138" spans="1:14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</row>
    <row r="139" spans="1:14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</row>
    <row r="140" spans="1:14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</row>
    <row r="141" spans="1:14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</row>
    <row r="142" spans="1:14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</row>
    <row r="143" spans="1:14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</row>
    <row r="144" spans="1:14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</row>
    <row r="145" spans="1:14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</row>
    <row r="146" spans="1:14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</row>
    <row r="147" spans="1:14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</row>
    <row r="148" spans="1:14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</row>
    <row r="149" spans="1:14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</row>
    <row r="150" spans="1:14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</row>
    <row r="151" spans="1:14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</row>
    <row r="152" spans="1:14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</row>
    <row r="153" spans="1:14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</row>
    <row r="154" spans="1:14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</row>
    <row r="155" spans="1:14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</row>
    <row r="156" spans="1:14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</row>
    <row r="157" spans="1:14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</row>
    <row r="158" spans="1:14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</row>
    <row r="159" spans="1:14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</row>
    <row r="160" spans="1:14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</row>
    <row r="161" spans="1:14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</row>
    <row r="162" spans="1:14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</row>
    <row r="163" spans="1:14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</row>
    <row r="164" spans="1:14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</row>
    <row r="165" spans="1:14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</row>
    <row r="166" spans="1:14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</row>
    <row r="167" spans="1:14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</row>
    <row r="168" spans="1:14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</row>
    <row r="169" spans="1:14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</row>
    <row r="170" spans="1:14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</row>
    <row r="171" spans="1:14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</row>
    <row r="172" spans="1:14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</row>
    <row r="173" spans="1:14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</row>
    <row r="174" spans="1:14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</row>
    <row r="175" spans="1:14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</row>
    <row r="176" spans="1:14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</row>
    <row r="177" spans="1:14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</row>
    <row r="178" spans="1:14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</row>
    <row r="179" spans="1:14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</row>
    <row r="180" spans="1:14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</row>
    <row r="181" spans="1:14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</row>
    <row r="182" spans="1:14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</row>
    <row r="183" spans="1:14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</row>
    <row r="184" spans="1:14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</row>
    <row r="185" spans="1:14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</row>
    <row r="186" spans="1:14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</row>
    <row r="187" spans="1:14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</row>
    <row r="188" spans="1:14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</row>
    <row r="189" spans="1:14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</row>
    <row r="190" spans="1:14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</row>
    <row r="191" spans="1:14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</row>
    <row r="192" spans="1:14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</row>
    <row r="193" spans="1:14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</row>
    <row r="194" spans="1:14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</row>
    <row r="195" spans="1:14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</row>
    <row r="196" spans="1:14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</row>
    <row r="197" spans="1:14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</row>
    <row r="198" spans="1:14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</row>
    <row r="199" spans="1:14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</row>
    <row r="200" spans="1:14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</row>
    <row r="201" spans="1:14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</row>
    <row r="202" spans="1:14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</row>
    <row r="203" spans="1:14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</row>
    <row r="204" spans="1:14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</row>
    <row r="205" spans="1:14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</row>
    <row r="206" spans="1:14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</row>
    <row r="207" spans="1:14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</row>
    <row r="208" spans="1:14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</row>
    <row r="209" spans="1:14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</row>
    <row r="210" spans="1:14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</row>
    <row r="211" spans="1:14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</row>
    <row r="212" spans="1:14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</row>
    <row r="213" spans="1:14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</row>
    <row r="214" spans="1:14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</row>
    <row r="215" spans="1:14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</row>
    <row r="216" spans="1:14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</row>
    <row r="217" spans="1:14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</row>
    <row r="218" spans="1:14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</row>
    <row r="219" spans="1:14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</row>
    <row r="220" spans="1:14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</row>
    <row r="221" spans="1:14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</row>
    <row r="222" spans="1:14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</row>
    <row r="223" spans="1:14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</row>
    <row r="224" spans="1:14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</row>
    <row r="225" spans="1:14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</row>
    <row r="226" spans="1:14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</row>
    <row r="227" spans="1:14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</row>
    <row r="228" spans="1:14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</row>
    <row r="229" spans="1:14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</row>
    <row r="230" spans="1:14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</row>
    <row r="231" spans="1:14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</row>
    <row r="232" spans="1:14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</row>
    <row r="233" spans="1:14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</row>
    <row r="234" spans="1:14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</row>
    <row r="235" spans="1:14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</row>
    <row r="236" spans="1:14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</row>
    <row r="237" spans="1:14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</row>
    <row r="238" spans="1:14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</row>
    <row r="239" spans="1:14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</row>
    <row r="240" spans="1:14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</row>
    <row r="241" spans="1:14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</row>
    <row r="242" spans="1:14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</row>
    <row r="243" spans="1:14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</row>
    <row r="244" spans="1:14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</row>
    <row r="245" spans="1:14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</row>
    <row r="246" spans="1:14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</row>
    <row r="247" spans="1:14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</row>
    <row r="248" spans="1:14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</row>
    <row r="249" spans="1:14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</row>
    <row r="250" spans="1:14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</row>
    <row r="251" spans="1:14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</row>
    <row r="252" spans="1:14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</row>
    <row r="253" spans="1:14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</row>
    <row r="254" spans="1:14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</row>
    <row r="255" spans="1:14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</row>
    <row r="256" spans="1:14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</row>
    <row r="257" spans="1:14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</row>
    <row r="258" spans="1:14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</row>
    <row r="259" spans="1:14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</row>
    <row r="260" spans="1:14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</row>
    <row r="261" spans="1:14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</row>
    <row r="262" spans="1:14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</row>
    <row r="263" spans="1:14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</row>
    <row r="264" spans="1:14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</row>
    <row r="265" spans="1:14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</row>
    <row r="266" spans="1:14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</row>
    <row r="267" spans="1:14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</row>
    <row r="268" spans="1:14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</row>
    <row r="269" spans="1:14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</row>
    <row r="270" spans="1:14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</row>
    <row r="271" spans="1:14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</row>
    <row r="272" spans="1:14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</row>
    <row r="273" spans="1:14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</row>
    <row r="274" spans="1:14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</row>
    <row r="275" spans="1:14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</row>
    <row r="276" spans="1:14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</row>
    <row r="277" spans="1:14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</row>
    <row r="278" spans="1:14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</row>
    <row r="279" spans="1:14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</row>
    <row r="280" spans="1:14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</row>
    <row r="281" spans="1:14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</row>
    <row r="282" spans="1:14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</row>
    <row r="283" spans="1:14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</row>
    <row r="284" spans="1:14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</row>
    <row r="285" spans="1:14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</row>
    <row r="286" spans="1:14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</row>
    <row r="287" spans="1:14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</row>
    <row r="288" spans="1:14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</row>
    <row r="289" spans="1:14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</row>
    <row r="290" spans="1:14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</row>
    <row r="291" spans="1:14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</row>
    <row r="292" spans="1:14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</row>
    <row r="293" spans="1:14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</row>
    <row r="294" spans="1:14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</row>
    <row r="295" spans="1:14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</row>
    <row r="296" spans="1:14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</row>
    <row r="297" spans="1:14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</row>
    <row r="298" spans="1:14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</row>
    <row r="299" spans="1:14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</row>
    <row r="300" spans="1:14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</row>
    <row r="301" spans="1:14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</row>
    <row r="302" spans="1:14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</row>
    <row r="303" spans="1:14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</row>
    <row r="304" spans="1:14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</row>
    <row r="305" spans="1:14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</row>
    <row r="306" spans="1:14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</row>
    <row r="307" spans="1:14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</row>
    <row r="308" spans="1:14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</row>
    <row r="309" spans="1:14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</row>
    <row r="310" spans="1:14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</row>
    <row r="311" spans="1:14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</row>
    <row r="312" spans="1:14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</row>
    <row r="313" spans="1:14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</row>
    <row r="314" spans="1:14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</row>
    <row r="315" spans="1:14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</row>
    <row r="316" spans="1:14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</row>
    <row r="317" spans="1:14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</row>
    <row r="318" spans="1:14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</row>
    <row r="319" spans="1:14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</row>
    <row r="320" spans="1:14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</row>
    <row r="321" spans="1:14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</row>
    <row r="322" spans="1:14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</row>
    <row r="323" spans="1:14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</row>
    <row r="324" spans="1:14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</row>
    <row r="325" spans="1:14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</row>
    <row r="326" spans="1:14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</row>
    <row r="327" spans="1:14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</row>
    <row r="328" spans="1:14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</row>
    <row r="329" spans="1:14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</row>
    <row r="330" spans="1:14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</row>
    <row r="331" spans="1:14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</row>
    <row r="332" spans="1:14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</row>
    <row r="333" spans="1:14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</row>
    <row r="334" spans="1:14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</row>
    <row r="335" spans="1:14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</row>
    <row r="336" spans="1:14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</row>
    <row r="337" spans="1:14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</row>
    <row r="338" spans="1:14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</row>
    <row r="339" spans="1:14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</row>
    <row r="340" spans="1:14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</row>
    <row r="341" spans="1:14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</row>
    <row r="342" spans="1:14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</row>
    <row r="343" spans="1:14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</row>
    <row r="344" spans="1:14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</row>
    <row r="345" spans="1:14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</row>
    <row r="346" spans="1:14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</row>
    <row r="347" spans="1:14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</row>
    <row r="348" spans="1:14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</row>
    <row r="349" spans="1:14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</row>
    <row r="350" spans="1:14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</row>
    <row r="351" spans="1:14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</row>
    <row r="352" spans="1:14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</row>
    <row r="353" spans="1:14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</row>
    <row r="354" spans="1:14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</row>
    <row r="355" spans="1:14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</row>
    <row r="356" spans="1:14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</row>
    <row r="357" spans="1:14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</row>
    <row r="358" spans="1:14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</row>
    <row r="359" spans="1:14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</row>
    <row r="360" spans="1:14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</row>
    <row r="361" spans="1:14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</row>
    <row r="362" spans="1:14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</row>
    <row r="363" spans="1:14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</row>
    <row r="364" spans="1:14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</row>
    <row r="365" spans="1:14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</row>
    <row r="366" spans="1:14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</row>
    <row r="367" spans="1:14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</row>
    <row r="368" spans="1:14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</row>
    <row r="369" spans="1:14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</row>
    <row r="370" spans="1:14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</row>
    <row r="371" spans="1:14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</row>
    <row r="372" spans="1:14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</row>
    <row r="373" spans="1:14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</row>
    <row r="374" spans="1:14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</row>
    <row r="375" spans="1:14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</row>
    <row r="376" spans="1:14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</row>
    <row r="377" spans="1:14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</row>
    <row r="378" spans="1:14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</row>
    <row r="379" spans="1:14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</row>
    <row r="380" spans="1:14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</row>
    <row r="381" spans="1:14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</row>
    <row r="382" spans="1:14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</row>
    <row r="383" spans="1:14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</row>
    <row r="384" spans="1:14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</row>
    <row r="385" spans="1:14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</row>
    <row r="386" spans="1:14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</row>
    <row r="387" spans="1:14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</row>
    <row r="388" spans="1:14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</row>
    <row r="389" spans="1:14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</row>
    <row r="390" spans="1:14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</row>
    <row r="391" spans="1:14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</row>
    <row r="392" spans="1:14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</row>
    <row r="393" spans="1:14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</row>
    <row r="394" spans="1:14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</row>
    <row r="395" spans="1:14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</row>
    <row r="396" spans="1:14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</row>
    <row r="397" spans="1:14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</row>
    <row r="398" spans="1:14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</row>
    <row r="399" spans="1:14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</row>
    <row r="400" spans="1:14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</row>
    <row r="401" spans="1:14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</row>
    <row r="402" spans="1:14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</row>
    <row r="403" spans="1:14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</row>
    <row r="404" spans="1:14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</row>
    <row r="405" spans="1:14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</row>
    <row r="406" spans="1:14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</row>
    <row r="407" spans="1:14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</row>
    <row r="408" spans="1:14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</row>
    <row r="409" spans="1:14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</row>
    <row r="410" spans="1:14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</row>
    <row r="411" spans="1:14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</row>
    <row r="412" spans="1:14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</row>
    <row r="413" spans="1:14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</row>
    <row r="414" spans="1:14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</row>
    <row r="415" spans="1:14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</row>
    <row r="416" spans="1:14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</row>
    <row r="417" spans="1:14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</row>
    <row r="418" spans="1:14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</row>
    <row r="419" spans="1:14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</row>
    <row r="420" spans="1:14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</row>
    <row r="421" spans="1:14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</row>
    <row r="422" spans="1:14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</row>
    <row r="423" spans="1:14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</row>
    <row r="424" spans="1:14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</row>
    <row r="425" spans="1:14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</row>
    <row r="426" spans="1:14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</row>
    <row r="427" spans="1:14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</row>
    <row r="428" spans="1:14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</row>
    <row r="429" spans="1:14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</row>
    <row r="430" spans="1:14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</row>
    <row r="431" spans="1:14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</row>
    <row r="432" spans="1:14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</row>
    <row r="433" spans="1:14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</row>
    <row r="434" spans="1:14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</row>
    <row r="435" spans="1:14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</row>
    <row r="436" spans="1:14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</row>
    <row r="437" spans="1:14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</row>
    <row r="438" spans="1:14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</row>
    <row r="439" spans="1:14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</row>
    <row r="440" spans="1:14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</row>
    <row r="441" spans="1:14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</row>
    <row r="442" spans="1:14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</row>
    <row r="443" spans="1:14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</row>
    <row r="444" spans="1:14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</row>
    <row r="445" spans="1:14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</row>
    <row r="446" spans="1:14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</row>
    <row r="447" spans="1:14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</row>
    <row r="448" spans="1:14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</row>
    <row r="449" spans="1:14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</row>
    <row r="450" spans="1:14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</row>
    <row r="451" spans="1:14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</row>
    <row r="452" spans="1:14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</row>
    <row r="453" spans="1:14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</row>
    <row r="454" spans="1:14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</row>
    <row r="455" spans="1:14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</row>
    <row r="456" spans="1:14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</row>
    <row r="457" spans="1:14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</row>
    <row r="458" spans="1:14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</row>
    <row r="459" spans="1:14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</row>
    <row r="460" spans="1:14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</row>
    <row r="461" spans="1:14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</row>
    <row r="462" spans="1:14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</row>
    <row r="463" spans="1:14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</row>
    <row r="464" spans="1:14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</row>
    <row r="465" spans="1:14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</row>
    <row r="466" spans="1:14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</row>
    <row r="467" spans="1:14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</row>
    <row r="468" spans="1:14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</row>
    <row r="469" spans="1:14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</row>
    <row r="470" spans="1:14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</row>
    <row r="471" spans="1:14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</row>
    <row r="472" spans="1:14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</row>
    <row r="473" spans="1:14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</row>
    <row r="474" spans="1:14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</row>
    <row r="475" spans="1:14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</row>
    <row r="476" spans="1:14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</row>
    <row r="477" spans="1:14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</row>
    <row r="478" spans="1:14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</row>
    <row r="479" spans="1:14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</row>
    <row r="480" spans="1:14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</row>
    <row r="481" spans="1:14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</row>
    <row r="482" spans="1:14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</row>
    <row r="483" spans="1:14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</row>
    <row r="484" spans="1:14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</row>
    <row r="485" spans="1:14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</row>
    <row r="486" spans="1:14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</row>
    <row r="487" spans="1:14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</row>
    <row r="488" spans="1:14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</row>
    <row r="489" spans="1:14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</row>
    <row r="490" spans="1:14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</row>
    <row r="491" spans="1:14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</row>
    <row r="492" spans="1:14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</row>
    <row r="493" spans="1:14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</row>
    <row r="494" spans="1:14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</row>
    <row r="495" spans="1:14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</row>
    <row r="496" spans="1:14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</row>
    <row r="497" spans="1:14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</row>
    <row r="498" spans="1:14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</row>
    <row r="499" spans="1:14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</row>
    <row r="500" spans="1:14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</row>
    <row r="501" spans="1:14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</row>
    <row r="502" spans="1:14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</row>
    <row r="503" spans="1:14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</row>
    <row r="504" spans="1:14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</row>
    <row r="505" spans="1:14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</row>
    <row r="506" spans="1:14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</row>
    <row r="507" spans="1:14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</row>
    <row r="508" spans="1:14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</row>
    <row r="509" spans="1:14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</row>
    <row r="510" spans="1:14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</row>
    <row r="511" spans="1:14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</row>
    <row r="512" spans="1:14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</row>
    <row r="513" spans="1:14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</row>
    <row r="514" spans="1:14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</row>
    <row r="515" spans="1:14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</row>
    <row r="516" spans="1:14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</row>
    <row r="517" spans="1:14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</row>
    <row r="518" spans="1:14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</row>
    <row r="519" spans="1:14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</row>
    <row r="520" spans="1:14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</row>
    <row r="521" spans="1:14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</row>
    <row r="522" spans="1:14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</row>
    <row r="523" spans="1:14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</row>
    <row r="524" spans="1:14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</row>
    <row r="525" spans="1:14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</row>
    <row r="526" spans="1:14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</row>
    <row r="527" spans="1:14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</row>
    <row r="528" spans="1:14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</row>
    <row r="529" spans="1:14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</row>
    <row r="530" spans="1:14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</row>
    <row r="531" spans="1:14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</row>
    <row r="532" spans="1:14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</row>
    <row r="533" spans="1:14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</row>
    <row r="534" spans="1:14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</row>
    <row r="535" spans="1:14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</row>
    <row r="536" spans="1:14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</row>
    <row r="537" spans="1:14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</row>
    <row r="538" spans="1:14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</row>
    <row r="539" spans="1:14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</row>
    <row r="540" spans="1:14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</row>
    <row r="541" spans="1:14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</row>
    <row r="542" spans="1:14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</row>
    <row r="543" spans="1:14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</row>
    <row r="544" spans="1:14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</row>
    <row r="545" spans="1:14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</row>
    <row r="546" spans="1:14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</row>
    <row r="547" spans="1:14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</row>
    <row r="548" spans="1:14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</row>
    <row r="549" spans="1:14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</row>
    <row r="550" spans="1:14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</row>
    <row r="551" spans="1:14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</row>
    <row r="552" spans="1:14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</row>
    <row r="553" spans="1:14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</row>
    <row r="554" spans="1:14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</row>
    <row r="555" spans="1:14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</row>
    <row r="556" spans="1:14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</row>
    <row r="557" spans="1:14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</row>
    <row r="558" spans="1:14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</row>
    <row r="559" spans="1:14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</row>
    <row r="560" spans="1:14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</row>
    <row r="561" spans="1:14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</row>
    <row r="562" spans="1:14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</row>
    <row r="563" spans="1:14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</row>
    <row r="564" spans="1:14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</row>
    <row r="565" spans="1:14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</row>
    <row r="566" spans="1:14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</row>
    <row r="567" spans="1:14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</row>
    <row r="568" spans="1:14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</row>
    <row r="569" spans="1:14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</row>
    <row r="570" spans="1:14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</row>
    <row r="571" spans="1:14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</row>
    <row r="572" spans="1:14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</row>
    <row r="573" spans="1:14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</row>
    <row r="574" spans="1:14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</row>
    <row r="575" spans="1:14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</row>
    <row r="576" spans="1:14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</row>
    <row r="577" spans="1:14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</row>
    <row r="578" spans="1:14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</row>
    <row r="579" spans="1:14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</row>
    <row r="580" spans="1:14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</row>
    <row r="581" spans="1:14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</row>
    <row r="582" spans="1:14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</row>
    <row r="583" spans="1:14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</row>
    <row r="584" spans="1:14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</row>
    <row r="585" spans="1:14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</row>
    <row r="586" spans="1:14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</row>
    <row r="587" spans="1:14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</row>
    <row r="588" spans="1:14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</row>
    <row r="589" spans="1:14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</row>
    <row r="590" spans="1:14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</row>
    <row r="591" spans="1:14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</row>
    <row r="592" spans="1:14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</row>
    <row r="593" spans="1:14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</row>
    <row r="594" spans="1:14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</row>
    <row r="595" spans="1:14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</row>
    <row r="596" spans="1:14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</row>
    <row r="597" spans="1:14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</row>
    <row r="598" spans="1:14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</row>
    <row r="599" spans="1:14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</row>
    <row r="600" spans="1:14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</row>
    <row r="601" spans="1:14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</row>
    <row r="602" spans="1:14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</row>
    <row r="603" spans="1:14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</row>
    <row r="604" spans="1:14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</row>
    <row r="605" spans="1:14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</row>
    <row r="606" spans="1:14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</row>
    <row r="607" spans="1:14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</row>
    <row r="608" spans="1:14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</row>
    <row r="609" spans="1:14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</row>
    <row r="610" spans="1:14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</row>
    <row r="611" spans="1:14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</row>
    <row r="612" spans="1:14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</row>
    <row r="613" spans="1:14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</row>
    <row r="614" spans="1:14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</row>
    <row r="615" spans="1:14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</row>
    <row r="616" spans="1:14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</row>
    <row r="617" spans="1:14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</row>
    <row r="618" spans="1:14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</row>
    <row r="619" spans="1:14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</row>
    <row r="620" spans="1:14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</row>
    <row r="621" spans="1:14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</row>
    <row r="622" spans="1:14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</row>
    <row r="623" spans="1:14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</row>
    <row r="624" spans="1:14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</row>
    <row r="625" spans="1:14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</row>
    <row r="626" spans="1:14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</row>
    <row r="627" spans="1:14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</row>
    <row r="628" spans="1:14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</row>
    <row r="629" spans="1:14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</row>
    <row r="630" spans="1:14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</row>
    <row r="631" spans="1:14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</row>
    <row r="632" spans="1:14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</row>
    <row r="633" spans="1:14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</row>
    <row r="634" spans="1:14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</row>
    <row r="635" spans="1:14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</row>
    <row r="636" spans="1:14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</row>
    <row r="637" spans="1:14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</row>
    <row r="638" spans="1:14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</row>
    <row r="639" spans="1:14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</row>
    <row r="640" spans="1:14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</row>
    <row r="641" spans="1:14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</row>
    <row r="642" spans="1:14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</row>
    <row r="643" spans="1:14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</row>
    <row r="644" spans="1:14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</row>
    <row r="645" spans="1:14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</row>
    <row r="646" spans="1:14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</row>
    <row r="647" spans="1:14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</row>
    <row r="648" spans="1:14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</row>
    <row r="649" spans="1:14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</row>
    <row r="650" spans="1:14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</row>
    <row r="651" spans="1:14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</row>
    <row r="652" spans="1:14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</row>
    <row r="653" spans="1:14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</row>
    <row r="654" spans="1:14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</row>
    <row r="655" spans="1:14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</row>
    <row r="656" spans="1:14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</row>
    <row r="657" spans="1:14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</row>
    <row r="658" spans="1:14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</row>
    <row r="659" spans="1:14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</row>
    <row r="660" spans="1:14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</row>
    <row r="661" spans="1:14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</row>
    <row r="662" spans="1:14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</row>
    <row r="663" spans="1:14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</row>
    <row r="664" spans="1:14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</row>
    <row r="665" spans="1:14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</row>
    <row r="666" spans="1:14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</row>
    <row r="667" spans="1:14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</row>
    <row r="668" spans="1:14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</row>
    <row r="669" spans="1:14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</row>
    <row r="670" spans="1:14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</row>
    <row r="671" spans="1:14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</row>
    <row r="672" spans="1:14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</row>
    <row r="673" spans="1:14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</row>
    <row r="674" spans="1:14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</row>
    <row r="675" spans="1:14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</row>
    <row r="676" spans="1:14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</row>
    <row r="677" spans="1:14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</row>
    <row r="678" spans="1:14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</row>
    <row r="679" spans="1:14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</row>
    <row r="680" spans="1:14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</row>
    <row r="681" spans="1:14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</row>
    <row r="682" spans="1:14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</row>
    <row r="683" spans="1:14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</row>
    <row r="684" spans="1:14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</row>
    <row r="685" spans="1:14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</row>
    <row r="686" spans="1:14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</row>
    <row r="687" spans="1:14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</row>
    <row r="688" spans="1:14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</row>
    <row r="689" spans="1:14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</row>
    <row r="690" spans="1:14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</row>
    <row r="691" spans="1:14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</row>
    <row r="692" spans="1:14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</row>
    <row r="693" spans="1:14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</row>
    <row r="694" spans="1:14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</row>
    <row r="695" spans="1:14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</row>
    <row r="696" spans="1:14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</row>
    <row r="697" spans="1:14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</row>
    <row r="698" spans="1:14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</row>
    <row r="699" spans="1:14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</row>
    <row r="700" spans="1:14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</row>
    <row r="701" spans="1:14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</row>
    <row r="702" spans="1:14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</row>
    <row r="703" spans="1:14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</row>
    <row r="704" spans="1:14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</row>
    <row r="705" spans="1:14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</row>
    <row r="706" spans="1:14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</row>
    <row r="707" spans="1:14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</row>
    <row r="708" spans="1:14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</row>
    <row r="709" spans="1:14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</row>
    <row r="710" spans="1:14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</row>
    <row r="711" spans="1:14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</row>
    <row r="712" spans="1:14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</row>
    <row r="713" spans="1:14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</row>
    <row r="714" spans="1:14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</row>
    <row r="715" spans="1:14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</row>
    <row r="716" spans="1:14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</row>
    <row r="717" spans="1:14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</row>
    <row r="718" spans="1:14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</row>
    <row r="719" spans="1:14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</row>
    <row r="720" spans="1:14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</row>
    <row r="721" spans="1:14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</row>
    <row r="722" spans="1:14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</row>
    <row r="723" spans="1:14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</row>
    <row r="724" spans="1:14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</row>
    <row r="725" spans="1:14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</row>
    <row r="726" spans="1:14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</row>
    <row r="727" spans="1:14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</row>
    <row r="728" spans="1:14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</row>
    <row r="729" spans="1:14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</row>
    <row r="730" spans="1:14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</row>
    <row r="731" spans="1:14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</row>
    <row r="732" spans="1:14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</row>
    <row r="733" spans="1:14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</row>
    <row r="734" spans="1:14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</row>
    <row r="735" spans="1:14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</row>
    <row r="736" spans="1:14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</row>
    <row r="737" spans="1:14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</row>
    <row r="738" spans="1:14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</row>
    <row r="739" spans="1:14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</row>
    <row r="740" spans="1:14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</row>
    <row r="741" spans="1:14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</row>
    <row r="742" spans="1:14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</row>
    <row r="743" spans="1:14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</row>
    <row r="744" spans="1:14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</row>
    <row r="745" spans="1:14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</row>
    <row r="746" spans="1:14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</row>
    <row r="747" spans="1:14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</row>
    <row r="748" spans="1:14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</row>
    <row r="749" spans="1:14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</row>
    <row r="750" spans="1:14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</row>
    <row r="751" spans="1:14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</row>
    <row r="752" spans="1:14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</row>
    <row r="753" spans="1:14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</row>
    <row r="754" spans="1:14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</row>
    <row r="755" spans="1:14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</row>
    <row r="756" spans="1:14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</row>
    <row r="757" spans="1:14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</row>
    <row r="758" spans="1:14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</row>
    <row r="759" spans="1:14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</row>
    <row r="760" spans="1:14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</row>
    <row r="761" spans="1:14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</row>
    <row r="762" spans="1:14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</row>
    <row r="763" spans="1:14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</row>
    <row r="764" spans="1:14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</row>
    <row r="765" spans="1:14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</row>
    <row r="766" spans="1:14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</row>
    <row r="767" spans="1:14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</row>
    <row r="768" spans="1:14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</row>
    <row r="769" spans="1:14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</row>
    <row r="770" spans="1:14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</row>
    <row r="771" spans="1:14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</row>
    <row r="772" spans="1:14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</row>
    <row r="773" spans="1:14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</row>
    <row r="774" spans="1:14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</row>
    <row r="775" spans="1:14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</row>
    <row r="776" spans="1:14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</row>
    <row r="777" spans="1:14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</row>
    <row r="778" spans="1:14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</row>
    <row r="779" spans="1:14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</row>
    <row r="780" spans="1:14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</row>
    <row r="781" spans="1:14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</row>
    <row r="782" spans="1:14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</row>
    <row r="783" spans="1:14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</row>
    <row r="784" spans="1:14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</row>
    <row r="785" spans="1:14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</row>
    <row r="786" spans="1:14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</row>
    <row r="787" spans="1:14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</row>
    <row r="788" spans="1:14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</row>
    <row r="789" spans="1:14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</row>
    <row r="790" spans="1:14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</row>
    <row r="791" spans="1:14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</row>
    <row r="792" spans="1:14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</row>
    <row r="793" spans="1:14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</row>
    <row r="794" spans="1:14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</row>
    <row r="795" spans="1:14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</row>
    <row r="796" spans="1:14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</row>
    <row r="797" spans="1:14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</row>
    <row r="798" spans="1:14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</row>
    <row r="799" spans="1:14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</row>
    <row r="800" spans="1:14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</row>
    <row r="801" spans="1:14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</row>
    <row r="802" spans="1:14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</row>
    <row r="803" spans="1:14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</row>
    <row r="804" spans="1:14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</row>
    <row r="805" spans="1:14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</row>
    <row r="806" spans="1:14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</row>
    <row r="807" spans="1:14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</row>
    <row r="808" spans="1:14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</row>
    <row r="809" spans="1:14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</row>
    <row r="810" spans="1:14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</row>
    <row r="811" spans="1:14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</row>
    <row r="812" spans="1:14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</row>
    <row r="813" spans="1:14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</row>
    <row r="814" spans="1:14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</row>
    <row r="815" spans="1:14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</row>
    <row r="816" spans="1:14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</row>
    <row r="817" spans="1:14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</row>
    <row r="818" spans="1:14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</row>
    <row r="819" spans="1:14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</row>
    <row r="820" spans="1:14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</row>
    <row r="821" spans="1:14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</row>
    <row r="822" spans="1:14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</row>
    <row r="823" spans="1:14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</row>
    <row r="824" spans="1:14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</row>
    <row r="825" spans="1:14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</row>
    <row r="826" spans="1:14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</row>
    <row r="827" spans="1:14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</row>
    <row r="828" spans="1:14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</row>
    <row r="829" spans="1:14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</row>
    <row r="830" spans="1:14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</row>
    <row r="831" spans="1:14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</row>
    <row r="832" spans="1:14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</row>
    <row r="833" spans="1:14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</row>
    <row r="834" spans="1:14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</row>
    <row r="835" spans="1:14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</row>
    <row r="836" spans="1:14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</row>
    <row r="837" spans="1:14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</row>
    <row r="838" spans="1:14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</row>
    <row r="839" spans="1:14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</row>
    <row r="840" spans="1:14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</row>
    <row r="841" spans="1:14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</row>
    <row r="842" spans="1:14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</row>
    <row r="843" spans="1:14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</row>
    <row r="844" spans="1:14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</row>
    <row r="845" spans="1:14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</row>
    <row r="846" spans="1:14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</row>
    <row r="847" spans="1:14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</row>
    <row r="848" spans="1:14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</row>
    <row r="849" spans="1:14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</row>
    <row r="850" spans="1:14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</row>
    <row r="851" spans="1:14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</row>
    <row r="852" spans="1:14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</row>
    <row r="853" spans="1:14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</row>
    <row r="854" spans="1:14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</row>
    <row r="855" spans="1:14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</row>
    <row r="856" spans="1:14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</row>
    <row r="857" spans="1:14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</row>
    <row r="858" spans="1:14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</row>
    <row r="859" spans="1:14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</row>
    <row r="860" spans="1:14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</row>
    <row r="861" spans="1:14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</row>
    <row r="862" spans="1:14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</row>
    <row r="863" spans="1:14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</row>
    <row r="864" spans="1:14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</row>
    <row r="865" spans="1:14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</row>
    <row r="866" spans="1:14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</row>
    <row r="867" spans="1:14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</row>
    <row r="868" spans="1:14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</row>
    <row r="869" spans="1:14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</row>
    <row r="870" spans="1:14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</row>
    <row r="871" spans="1:14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</row>
    <row r="872" spans="1:14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</row>
    <row r="873" spans="1:14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</row>
    <row r="874" spans="1:14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</row>
    <row r="875" spans="1:14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</row>
    <row r="876" spans="1:14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</row>
    <row r="877" spans="1:14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</row>
    <row r="878" spans="1:14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</row>
    <row r="879" spans="1:14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</row>
    <row r="880" spans="1:14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</row>
    <row r="881" spans="1:14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</row>
    <row r="882" spans="1:14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</row>
    <row r="883" spans="1:14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</row>
    <row r="884" spans="1:14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</row>
    <row r="885" spans="1:14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</row>
    <row r="886" spans="1:14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</row>
    <row r="887" spans="1:14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</row>
    <row r="888" spans="1:14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</row>
    <row r="889" spans="1:14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</row>
    <row r="890" spans="1:14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</row>
    <row r="891" spans="1:14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</row>
    <row r="892" spans="1:14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</row>
    <row r="893" spans="1:14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</row>
    <row r="894" spans="1:14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</row>
    <row r="895" spans="1:14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</row>
    <row r="896" spans="1:14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</row>
    <row r="897" spans="1:14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</row>
    <row r="898" spans="1:14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</row>
    <row r="899" spans="1:14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</row>
    <row r="900" spans="1:14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</row>
    <row r="901" spans="1:14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</row>
    <row r="902" spans="1:14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</row>
    <row r="903" spans="1:14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</row>
    <row r="904" spans="1:14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</row>
    <row r="905" spans="1:14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</row>
    <row r="906" spans="1:14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</row>
    <row r="907" spans="1:14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</row>
    <row r="908" spans="1:14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</row>
    <row r="909" spans="1:14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</row>
    <row r="910" spans="1:14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</row>
    <row r="911" spans="1:14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</row>
    <row r="912" spans="1:14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</row>
    <row r="913" spans="1:14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</row>
    <row r="914" spans="1:14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</row>
    <row r="915" spans="1:14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</row>
    <row r="916" spans="1:14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</row>
    <row r="917" spans="1:14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</row>
    <row r="918" spans="1:14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</row>
    <row r="919" spans="1:14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</row>
    <row r="920" spans="1:14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</row>
    <row r="921" spans="1:14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</row>
    <row r="922" spans="1:14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</row>
    <row r="923" spans="1:14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</row>
    <row r="924" spans="1:14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</row>
    <row r="925" spans="1:14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</row>
    <row r="926" spans="1:14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</row>
    <row r="927" spans="1:14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</row>
    <row r="928" spans="1:14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</row>
    <row r="929" spans="1:14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</row>
    <row r="930" spans="1:14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</row>
    <row r="931" spans="1:14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</row>
    <row r="932" spans="1:14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</row>
    <row r="933" spans="1:14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</row>
    <row r="934" spans="1:14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</row>
    <row r="935" spans="1:14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</row>
    <row r="936" spans="1:14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</row>
    <row r="937" spans="1:14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</row>
    <row r="938" spans="1:14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</row>
    <row r="939" spans="1:14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</row>
    <row r="940" spans="1:14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</row>
    <row r="941" spans="1:14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</row>
    <row r="942" spans="1:14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</row>
    <row r="943" spans="1:14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</row>
    <row r="944" spans="1:14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</row>
    <row r="945" spans="1:14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</row>
    <row r="946" spans="1:14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</row>
    <row r="947" spans="1:14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</row>
    <row r="948" spans="1:14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</row>
    <row r="949" spans="1:14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</row>
    <row r="950" spans="1:14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</row>
    <row r="951" spans="1:14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</row>
    <row r="952" spans="1:14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</row>
    <row r="953" spans="1:14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</row>
    <row r="954" spans="1:14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</row>
    <row r="955" spans="1:14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</row>
    <row r="956" spans="1:14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</row>
    <row r="957" spans="1:14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</row>
    <row r="958" spans="1:14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</row>
    <row r="959" spans="1:14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</row>
    <row r="960" spans="1:14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</row>
    <row r="961" spans="1:14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</row>
    <row r="962" spans="1:14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</row>
    <row r="963" spans="1:14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</row>
    <row r="964" spans="1:14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</row>
    <row r="965" spans="1:14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</row>
    <row r="966" spans="1:14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</row>
    <row r="967" spans="1:14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</row>
    <row r="968" spans="1:14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</row>
    <row r="969" spans="1:14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</row>
    <row r="970" spans="1:14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</row>
    <row r="971" spans="1:14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</row>
    <row r="972" spans="1:14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</row>
    <row r="973" spans="1:14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</row>
    <row r="974" spans="1:14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</row>
    <row r="975" spans="1:14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</row>
    <row r="976" spans="1:14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</row>
    <row r="977" spans="1:14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</row>
    <row r="978" spans="1:14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</row>
    <row r="979" spans="1:14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</row>
    <row r="980" spans="1:14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</row>
    <row r="981" spans="1:14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</row>
    <row r="982" spans="1:14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</row>
    <row r="983" spans="1:14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</row>
    <row r="984" spans="1:14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</row>
    <row r="985" spans="1:14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</row>
    <row r="986" spans="1:14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</row>
    <row r="987" spans="1:14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</row>
    <row r="988" spans="1:14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</row>
    <row r="989" spans="1:14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</row>
    <row r="990" spans="1:14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</row>
    <row r="991" spans="1:14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</row>
    <row r="992" spans="1:14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</row>
    <row r="993" spans="1:14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</row>
    <row r="994" spans="1:14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</row>
    <row r="995" spans="1:14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</row>
    <row r="996" spans="1:14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</row>
    <row r="997" spans="1:14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</row>
    <row r="998" spans="1:14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</row>
    <row r="999" spans="1:14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</row>
    <row r="1000" spans="1:14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</row>
    <row r="1001" spans="1:14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</row>
    <row r="1002" spans="1:14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</row>
    <row r="1003" spans="1:14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</row>
    <row r="1004" spans="1:14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</row>
    <row r="1005" spans="1:14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</row>
    <row r="1006" spans="1:14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</row>
    <row r="1007" spans="1:14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</row>
    <row r="1008" spans="1:14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</row>
    <row r="1009" spans="1:14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</row>
    <row r="1010" spans="1:14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</row>
    <row r="1011" spans="1:14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</row>
    <row r="1012" spans="1:14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</row>
    <row r="1013" spans="1:14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</row>
    <row r="1014" spans="1:14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</row>
    <row r="1015" spans="1:14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</row>
    <row r="1016" spans="1:14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</row>
    <row r="1017" spans="1:14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</row>
    <row r="1018" spans="1:14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</row>
    <row r="1019" spans="1:14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</row>
    <row r="1020" spans="1:14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</row>
    <row r="1021" spans="1:14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</row>
    <row r="1022" spans="1:14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</row>
    <row r="1023" spans="1:14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</row>
    <row r="1024" spans="1:14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</row>
    <row r="1025" spans="1:14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</row>
    <row r="1026" spans="1:14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</row>
    <row r="1027" spans="1:14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</row>
    <row r="1028" spans="1:14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</row>
    <row r="1029" spans="1:14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</row>
    <row r="1030" spans="1:14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</row>
    <row r="1031" spans="1:14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</row>
    <row r="1032" spans="1:14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</row>
    <row r="1033" spans="1:14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</row>
    <row r="1034" spans="1:14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</row>
    <row r="1035" spans="1:14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</row>
    <row r="1036" spans="1:14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</row>
    <row r="1037" spans="1:14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</row>
    <row r="1038" spans="1:14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</row>
    <row r="1039" spans="1:14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</row>
    <row r="1040" spans="1:14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</row>
    <row r="1041" spans="1:14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</row>
    <row r="1042" spans="1:14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</row>
    <row r="1043" spans="1:14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</row>
    <row r="1044" spans="1:14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</row>
    <row r="1045" spans="1:14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</row>
    <row r="1046" spans="1:14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</row>
    <row r="1047" spans="1:14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</row>
    <row r="1048" spans="1:14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</row>
    <row r="1049" spans="1:14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</row>
    <row r="1050" spans="1:14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</row>
    <row r="1051" spans="1:14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</row>
    <row r="1052" spans="1:14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</row>
    <row r="1053" spans="1:14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</row>
    <row r="1054" spans="1:14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</row>
    <row r="1055" spans="1:14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</row>
    <row r="1056" spans="1:14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</row>
    <row r="1057" spans="1:14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</row>
    <row r="1058" spans="1:14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</row>
    <row r="1059" spans="1:14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</row>
    <row r="1060" spans="1:14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</row>
    <row r="1061" spans="1:14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</row>
    <row r="1062" spans="1:14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</row>
    <row r="1063" spans="1:14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</row>
    <row r="1064" spans="1:14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</row>
    <row r="1065" spans="1:14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</row>
    <row r="1066" spans="1:14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</row>
    <row r="1067" spans="1:14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</row>
    <row r="1068" spans="1:14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</row>
    <row r="1069" spans="1:14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</row>
    <row r="1070" spans="1:14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</row>
    <row r="1071" spans="1:14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</row>
    <row r="1072" spans="1:14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</row>
    <row r="1073" spans="1:14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</row>
    <row r="1074" spans="1:14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</row>
    <row r="1075" spans="1:14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</row>
    <row r="1076" spans="1:14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</row>
    <row r="1077" spans="1:14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</row>
    <row r="1078" spans="1:14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</row>
    <row r="1079" spans="1:14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</row>
    <row r="1080" spans="1:14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</row>
    <row r="1081" spans="1:14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</row>
    <row r="1082" spans="1:14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</row>
    <row r="1083" spans="1:14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</row>
    <row r="1084" spans="1:14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</row>
    <row r="1085" spans="1:14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</row>
    <row r="1086" spans="1:14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</row>
    <row r="1087" spans="1:14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</row>
    <row r="1088" spans="1:14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</row>
    <row r="1089" spans="1:14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</row>
    <row r="1090" spans="1:14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</row>
    <row r="1091" spans="1:14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</row>
    <row r="1092" spans="1:14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</row>
    <row r="1093" spans="1:14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</row>
    <row r="1094" spans="1:14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</row>
    <row r="1095" spans="1:14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</row>
    <row r="1096" spans="1:14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</row>
    <row r="1097" spans="1:14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</row>
    <row r="1098" spans="1:14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</row>
    <row r="1099" spans="1:14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</row>
    <row r="1100" spans="1:14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</row>
    <row r="1101" spans="1:14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</row>
    <row r="1102" spans="1:14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</row>
    <row r="1103" spans="1:14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</row>
    <row r="1104" spans="1:14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</row>
    <row r="1105" spans="1:14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</row>
    <row r="1106" spans="1:14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</row>
    <row r="1107" spans="1:14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</row>
    <row r="1108" spans="1:14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</row>
    <row r="1109" spans="1:14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</row>
    <row r="1110" spans="1:14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</row>
    <row r="1111" spans="1:14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</row>
    <row r="1112" spans="1:14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</row>
    <row r="1113" spans="1:14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</row>
    <row r="1114" spans="1:14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</row>
    <row r="1115" spans="1:14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</row>
    <row r="1116" spans="1:14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</row>
    <row r="1117" spans="1:14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</row>
    <row r="1118" spans="1:14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</row>
    <row r="1119" spans="1:14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</row>
    <row r="1120" spans="1:14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</row>
    <row r="1121" spans="1:14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</row>
    <row r="1122" spans="1:14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</row>
    <row r="1123" spans="1:14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</row>
    <row r="1124" spans="1:14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</row>
    <row r="1125" spans="1:14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</row>
    <row r="1126" spans="1:14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</row>
    <row r="1127" spans="1:14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</row>
    <row r="1128" spans="1:14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</row>
    <row r="1129" spans="1:14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</row>
    <row r="1130" spans="1:14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</row>
    <row r="1131" spans="1:14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</row>
    <row r="1132" spans="1:14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</row>
    <row r="1133" spans="1:14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</row>
    <row r="1134" spans="1:14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</row>
    <row r="1135" spans="1:14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</row>
    <row r="1136" spans="1:14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</row>
    <row r="1137" spans="1:14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</row>
    <row r="1138" spans="1:14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</row>
    <row r="1139" spans="1:14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</row>
    <row r="1140" spans="1:14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</row>
    <row r="1141" spans="1:14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</row>
    <row r="1142" spans="1:14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</row>
    <row r="1143" spans="1:14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</row>
    <row r="1144" spans="1:14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</row>
    <row r="1145" spans="1:14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</row>
    <row r="1146" spans="1:14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</row>
    <row r="1147" spans="1:14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</row>
    <row r="1148" spans="1:14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</row>
    <row r="1149" spans="1:14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</row>
    <row r="1150" spans="1:14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</row>
    <row r="1151" spans="1:14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</row>
    <row r="1152" spans="1:14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</row>
    <row r="1153" spans="1:14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</row>
    <row r="1154" spans="1:14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</row>
    <row r="1155" spans="1:14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</row>
    <row r="1156" spans="1:14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</row>
    <row r="1157" spans="1:14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</row>
    <row r="1158" spans="1:14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</row>
    <row r="1159" spans="1:14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</row>
    <row r="1160" spans="1:14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</row>
    <row r="1161" spans="1:14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</row>
    <row r="1162" spans="1:14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</row>
    <row r="1163" spans="1:14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</row>
    <row r="1164" spans="1:14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</row>
    <row r="1165" spans="1:14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</row>
    <row r="1166" spans="1:14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</row>
    <row r="1167" spans="1:14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</row>
    <row r="1168" spans="1:14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</row>
    <row r="1169" spans="1:14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</row>
    <row r="1170" spans="1:14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</row>
    <row r="1171" spans="1:14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</row>
    <row r="1172" spans="1:14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</row>
    <row r="1173" spans="1:14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</row>
    <row r="1174" spans="1:14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</row>
    <row r="1175" spans="1:14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</row>
    <row r="1176" spans="1:14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</row>
    <row r="1177" spans="1:14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</row>
    <row r="1178" spans="1:14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</row>
    <row r="1179" spans="1:14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</row>
    <row r="1180" spans="1:14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</row>
    <row r="1181" spans="1:14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</row>
    <row r="1182" spans="1:14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</row>
    <row r="1183" spans="1:14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</row>
    <row r="1184" spans="1:14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</row>
    <row r="1185" spans="1:14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</row>
    <row r="1186" spans="1:14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</row>
    <row r="1187" spans="1:14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</row>
    <row r="1188" spans="1:14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</row>
    <row r="1189" spans="1:14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</row>
    <row r="1190" spans="1:14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</row>
    <row r="1191" spans="1:14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</row>
    <row r="1192" spans="1:14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</row>
    <row r="1193" spans="1:14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</row>
    <row r="1194" spans="1:14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</row>
    <row r="1195" spans="1:14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</row>
    <row r="1196" spans="1:14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</row>
    <row r="1197" spans="1:14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</row>
    <row r="1198" spans="1:14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</row>
    <row r="1199" spans="1:14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</row>
    <row r="1200" spans="1:14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</row>
    <row r="1201" spans="1:14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</row>
    <row r="1202" spans="1:14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</row>
    <row r="1203" spans="1:14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</row>
    <row r="1204" spans="1:14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</row>
    <row r="1205" spans="1:14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</row>
    <row r="1206" spans="1:14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</row>
    <row r="1207" spans="1:14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</row>
    <row r="1208" spans="1:14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</row>
    <row r="1209" spans="1:14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</row>
    <row r="1210" spans="1:14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</row>
    <row r="1211" spans="1:14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</row>
    <row r="1212" spans="1:14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</row>
    <row r="1213" spans="1:14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</row>
    <row r="1214" spans="1:14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</row>
    <row r="1215" spans="1:14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</row>
    <row r="1216" spans="1:14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</row>
    <row r="1217" spans="1:14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</row>
    <row r="1218" spans="1:14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</row>
    <row r="1219" spans="1:14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</row>
    <row r="1220" spans="1:14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</row>
    <row r="1221" spans="1:14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</row>
    <row r="1222" spans="1:14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</row>
    <row r="1223" spans="1:14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</row>
    <row r="1224" spans="1:14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</row>
    <row r="1225" spans="1:14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</row>
    <row r="1226" spans="1:14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</row>
    <row r="1227" spans="1:14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</row>
    <row r="1228" spans="1:14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</row>
    <row r="1229" spans="1:14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</row>
    <row r="1230" spans="1:14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</row>
    <row r="1231" spans="1:14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</row>
    <row r="1232" spans="1:14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</row>
    <row r="1233" spans="1:14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</row>
    <row r="1234" spans="1:14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</row>
    <row r="1235" spans="1:14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</row>
    <row r="1236" spans="1:14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</row>
    <row r="1237" spans="1:14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</row>
    <row r="1238" spans="1:14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</row>
    <row r="1239" spans="1:14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</row>
    <row r="1240" spans="1:14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</row>
    <row r="1241" spans="1:14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</row>
    <row r="1242" spans="1:14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</row>
    <row r="1243" spans="1:14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</row>
    <row r="1244" spans="1:14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</row>
    <row r="1245" spans="1:14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</row>
    <row r="1246" spans="1:14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</row>
    <row r="1247" spans="1:14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</row>
    <row r="1248" spans="1:14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</row>
    <row r="1249" spans="1:14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</row>
    <row r="1250" spans="1:14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</row>
    <row r="1251" spans="1:14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</row>
    <row r="1252" spans="1:14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</row>
    <row r="1253" spans="1:14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</row>
    <row r="1254" spans="1:14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</row>
    <row r="1255" spans="1:14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</row>
    <row r="1256" spans="1:14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</row>
    <row r="1257" spans="1:14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</row>
    <row r="1258" spans="1:14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</row>
    <row r="1259" spans="1:14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</row>
    <row r="1260" spans="1:14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</row>
    <row r="1261" spans="1:14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</row>
    <row r="1262" spans="1:14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</row>
    <row r="1263" spans="1:14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</row>
    <row r="1264" spans="1:14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</row>
    <row r="1265" spans="1:14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</row>
    <row r="1266" spans="1:14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</row>
    <row r="1267" spans="1:14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</row>
    <row r="1268" spans="1:14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</row>
    <row r="1269" spans="1:14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</row>
    <row r="1270" spans="1:14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</row>
    <row r="1271" spans="1:14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</row>
    <row r="1272" spans="1:14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</row>
    <row r="1273" spans="1:14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</row>
    <row r="1274" spans="1:14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</row>
    <row r="1275" spans="1:14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</row>
    <row r="1276" spans="1:14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</row>
    <row r="1277" spans="1:14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</row>
    <row r="1278" spans="1:14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</row>
    <row r="1279" spans="1:14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</row>
    <row r="1280" spans="1:14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</row>
    <row r="1281" spans="1:14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</row>
    <row r="1282" spans="1:14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</row>
    <row r="1283" spans="1:14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</row>
    <row r="1284" spans="1:14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</row>
    <row r="1285" spans="1:14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</row>
    <row r="1286" spans="1:14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</row>
    <row r="1287" spans="1:14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</row>
    <row r="1288" spans="1:14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</row>
    <row r="1289" spans="1:14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</row>
    <row r="1290" spans="1:14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</row>
    <row r="1291" spans="1:14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</row>
    <row r="1292" spans="1:14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</row>
    <row r="1293" spans="1:14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</row>
    <row r="1294" spans="1:14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</row>
    <row r="1295" spans="1:14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</row>
    <row r="1296" spans="1:14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</row>
    <row r="1297" spans="1:14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</row>
    <row r="1298" spans="1:14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</row>
    <row r="1299" spans="1:14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</row>
    <row r="1300" spans="1:14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</row>
    <row r="1301" spans="1:14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</row>
    <row r="1302" spans="1:14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</row>
    <row r="1303" spans="1:14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</row>
    <row r="1304" spans="1:14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</row>
    <row r="1305" spans="1:14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</row>
    <row r="1306" spans="1:14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</row>
    <row r="1307" spans="1:14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</row>
    <row r="1308" spans="1:14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</row>
    <row r="1309" spans="1:14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</row>
    <row r="1310" spans="1:14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</row>
    <row r="1311" spans="1:14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</row>
    <row r="1312" spans="1:14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</row>
    <row r="1313" spans="1:14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</row>
    <row r="1314" spans="1:14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</row>
    <row r="1315" spans="1:14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</row>
    <row r="1316" spans="1:14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</row>
    <row r="1317" spans="1:14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</row>
    <row r="1318" spans="1:14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</row>
    <row r="1319" spans="1:14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</row>
    <row r="1320" spans="1:14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</row>
    <row r="1321" spans="1:14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</row>
    <row r="1322" spans="1:14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</row>
    <row r="1323" spans="1:14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</row>
    <row r="1324" spans="1:14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</row>
    <row r="1325" spans="1:14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</row>
    <row r="1326" spans="1:14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</row>
    <row r="1327" spans="1:14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</row>
    <row r="1328" spans="1:14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</row>
    <row r="1329" spans="1:14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</row>
    <row r="1330" spans="1:14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</row>
    <row r="1331" spans="1:14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</row>
    <row r="1332" spans="1:14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</row>
    <row r="1333" spans="1:14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</row>
    <row r="1334" spans="1:14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</row>
    <row r="1335" spans="1:14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</row>
    <row r="1336" spans="1:14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</row>
    <row r="1337" spans="1:14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</row>
    <row r="1338" spans="1:14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</row>
    <row r="1339" spans="1:14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</row>
    <row r="1340" spans="1:14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</row>
    <row r="1341" spans="1:14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</row>
    <row r="1342" spans="1:14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</row>
    <row r="1343" spans="1:14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</row>
    <row r="1344" spans="1:14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</row>
    <row r="1345" spans="1:14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</row>
    <row r="1346" spans="1:14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</row>
    <row r="1347" spans="1:14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</row>
    <row r="1348" spans="1:14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</row>
    <row r="1349" spans="1:14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</row>
    <row r="1350" spans="1:14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</row>
    <row r="1351" spans="1:14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</row>
    <row r="1352" spans="1:14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</row>
    <row r="1353" spans="1:14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</row>
    <row r="1354" spans="1:14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</row>
    <row r="1355" spans="1:14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</row>
    <row r="1356" spans="1:14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</row>
    <row r="1357" spans="1:14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</row>
    <row r="1358" spans="1:14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</row>
    <row r="1359" spans="1:14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</row>
    <row r="1360" spans="1:14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</row>
    <row r="1361" spans="1:14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</row>
    <row r="1362" spans="1:14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</row>
    <row r="1363" spans="1:14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</row>
    <row r="1364" spans="1:14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</row>
    <row r="1365" spans="1:14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</row>
    <row r="1366" spans="1:14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</row>
    <row r="1367" spans="1:14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</row>
    <row r="1368" spans="1:14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</row>
    <row r="1369" spans="1:14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</row>
    <row r="1370" spans="1:14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</row>
    <row r="1371" spans="1:14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</row>
    <row r="1372" spans="1:14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</row>
    <row r="1373" spans="1:14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</row>
    <row r="1374" spans="1:14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</row>
    <row r="1375" spans="1:14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</row>
    <row r="1376" spans="1:14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</row>
    <row r="1377" spans="1:14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</row>
    <row r="1378" spans="1:14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</row>
    <row r="1379" spans="1:14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</row>
    <row r="1380" spans="1:14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</row>
    <row r="1381" spans="1:14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</row>
    <row r="1382" spans="1:14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</row>
    <row r="1383" spans="1:14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</row>
    <row r="1384" spans="1:14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</row>
    <row r="1385" spans="1:14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</row>
    <row r="1386" spans="1:14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</row>
    <row r="1387" spans="1:14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</row>
    <row r="1388" spans="1:14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</row>
    <row r="1389" spans="1:14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</row>
    <row r="1390" spans="1:14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</row>
    <row r="1391" spans="1:14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</row>
    <row r="1392" spans="1:14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</row>
    <row r="1393" spans="1:14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</row>
    <row r="1394" spans="1:14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</row>
    <row r="1395" spans="1:14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</row>
    <row r="1396" spans="1:14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</row>
    <row r="1397" spans="1:14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</row>
    <row r="1398" spans="1:14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</row>
    <row r="1399" spans="1:14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</row>
    <row r="1400" spans="1:14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</row>
    <row r="1401" spans="1:14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</row>
    <row r="1402" spans="1:14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</row>
    <row r="1403" spans="1:14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</row>
    <row r="1404" spans="1:14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</row>
    <row r="1405" spans="1:14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</row>
    <row r="1406" spans="1:14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</row>
    <row r="1407" spans="1:14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</row>
    <row r="1408" spans="1:14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</row>
    <row r="1409" spans="1:14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</row>
    <row r="1410" spans="1:14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</row>
    <row r="1411" spans="1:14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</row>
    <row r="1412" spans="1:14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</row>
    <row r="1413" spans="1:14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</row>
    <row r="1414" spans="1:14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</row>
    <row r="1415" spans="1:14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</row>
    <row r="1416" spans="1:14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</row>
    <row r="1417" spans="1:14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</row>
    <row r="1418" spans="1:14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</row>
    <row r="1419" spans="1:14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</row>
    <row r="1420" spans="1:14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</row>
    <row r="1421" spans="1:14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</row>
    <row r="1422" spans="1:14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</row>
    <row r="1423" spans="1:14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</row>
    <row r="1424" spans="1:14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</row>
    <row r="1425" spans="1:14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</row>
    <row r="1426" spans="1:14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</row>
    <row r="1427" spans="1:14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</row>
    <row r="1428" spans="1:14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</row>
    <row r="1429" spans="1:14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</row>
    <row r="1430" spans="1:14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</row>
    <row r="1431" spans="1:14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</row>
    <row r="1432" spans="1:14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</row>
    <row r="1433" spans="1:14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</row>
    <row r="1434" spans="1:14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</row>
    <row r="1435" spans="1:14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</row>
    <row r="1436" spans="1:14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</row>
    <row r="1437" spans="1:14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</row>
    <row r="1438" spans="1:14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</row>
    <row r="1439" spans="1:14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</row>
    <row r="1440" spans="1:14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</row>
    <row r="1441" spans="1:14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</row>
    <row r="1442" spans="1:14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</row>
    <row r="1443" spans="1:14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</row>
    <row r="1444" spans="1:14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</row>
    <row r="1445" spans="1:14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</row>
    <row r="1446" spans="1:14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</row>
    <row r="1447" spans="1:14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</row>
    <row r="1448" spans="1:14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</row>
    <row r="1449" spans="1:14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</row>
    <row r="1450" spans="1:14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</row>
    <row r="1451" spans="1:14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</row>
    <row r="1452" spans="1:14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</row>
    <row r="1453" spans="1:14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</row>
    <row r="1454" spans="1:14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</row>
    <row r="1455" spans="1:14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</row>
    <row r="1456" spans="1:14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</row>
    <row r="1457" spans="1:14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</row>
    <row r="1458" spans="1:14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</row>
    <row r="1459" spans="1:14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</row>
    <row r="1460" spans="1:14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</row>
    <row r="1461" spans="1:14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</row>
    <row r="1462" spans="1:14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</row>
    <row r="1463" spans="1:14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</row>
    <row r="1464" spans="1:14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</row>
    <row r="1465" spans="1:14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</row>
    <row r="1466" spans="1:14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</row>
    <row r="1467" spans="1:14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</row>
    <row r="1468" spans="1:14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</row>
    <row r="1469" spans="1:14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</row>
    <row r="1470" spans="1:14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</row>
    <row r="1471" spans="1:14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</row>
    <row r="1472" spans="1:14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</row>
    <row r="1473" spans="1:14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</row>
    <row r="1474" spans="1:14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</row>
    <row r="1475" spans="1:14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</row>
    <row r="1476" spans="1:14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</row>
    <row r="1477" spans="1:14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</row>
    <row r="1478" spans="1:14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</row>
    <row r="1479" spans="1:14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</row>
    <row r="1480" spans="1:14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</row>
    <row r="1481" spans="1:14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</row>
    <row r="1482" spans="1:14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</row>
    <row r="1483" spans="1:14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</row>
    <row r="1484" spans="1:14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</row>
    <row r="1485" spans="1:14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</row>
    <row r="1486" spans="1:14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</row>
    <row r="1487" spans="1:14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</row>
    <row r="1488" spans="1:14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</row>
    <row r="1489" spans="1:14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</row>
    <row r="1490" spans="1:14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</row>
    <row r="1491" spans="1:14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</row>
    <row r="1492" spans="1:14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</row>
    <row r="1493" spans="1:14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</row>
    <row r="1494" spans="1:14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</row>
    <row r="1495" spans="1:14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</row>
    <row r="1496" spans="1:14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</row>
    <row r="1497" spans="1:14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</row>
    <row r="1498" spans="1:14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</row>
    <row r="1499" spans="1:14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</row>
    <row r="1500" spans="1:14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</row>
    <row r="1501" spans="1:14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</row>
    <row r="1502" spans="1:14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</row>
    <row r="1503" spans="1:14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</row>
    <row r="1504" spans="1:14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</row>
    <row r="1505" spans="1:14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</row>
    <row r="1506" spans="1:14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</row>
    <row r="1507" spans="1:14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</row>
    <row r="1508" spans="1:14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</row>
    <row r="1509" spans="1:14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</row>
    <row r="1510" spans="1:14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</row>
    <row r="1511" spans="1:14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</row>
    <row r="1512" spans="1:14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</row>
    <row r="1513" spans="1:14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</row>
    <row r="1514" spans="1:14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</row>
    <row r="1515" spans="1:14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</row>
    <row r="1516" spans="1:14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</row>
    <row r="1517" spans="1:14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</row>
    <row r="1518" spans="1:14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</row>
    <row r="1519" spans="1:14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</row>
    <row r="1520" spans="1:14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</row>
    <row r="1521" spans="1:14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</row>
    <row r="1522" spans="1:14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</row>
    <row r="1523" spans="1:14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</row>
    <row r="1524" spans="1:14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</row>
    <row r="1525" spans="1:14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</row>
    <row r="1526" spans="1:14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</row>
    <row r="1527" spans="1:14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</row>
    <row r="1528" spans="1:14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</row>
    <row r="1529" spans="1:14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</row>
    <row r="1530" spans="1:14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</row>
    <row r="1531" spans="1:14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</row>
    <row r="1532" spans="1:14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</row>
    <row r="1533" spans="1:14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</row>
    <row r="1534" spans="1:14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</row>
    <row r="1535" spans="1:14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</row>
    <row r="1536" spans="1:14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</row>
    <row r="1537" spans="1:14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</row>
    <row r="1538" spans="1:14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</row>
    <row r="1539" spans="1:14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</row>
    <row r="1540" spans="1:14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</row>
    <row r="1541" spans="1:14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</row>
    <row r="1542" spans="1:14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</row>
    <row r="1543" spans="1:14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</row>
    <row r="1544" spans="1:14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</row>
    <row r="1545" spans="1:14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</row>
    <row r="1546" spans="1:14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</row>
    <row r="1547" spans="1:14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</row>
    <row r="1548" spans="1:14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</row>
    <row r="1549" spans="1:14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</row>
    <row r="1550" spans="1:14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</row>
    <row r="1551" spans="1:14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</row>
    <row r="1552" spans="1:14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</row>
    <row r="1553" spans="1:14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</row>
    <row r="1554" spans="1:14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</row>
    <row r="1555" spans="1:14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</row>
    <row r="1556" spans="1:14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</row>
    <row r="1557" spans="1:14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</row>
    <row r="1558" spans="1:14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</row>
    <row r="1559" spans="1:14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</row>
    <row r="1560" spans="1:14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</row>
    <row r="1561" spans="1:14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</row>
    <row r="1562" spans="1:14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</row>
    <row r="1563" spans="1:14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</row>
    <row r="1564" spans="1:14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</row>
    <row r="1565" spans="1:14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</row>
    <row r="1566" spans="1:14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</row>
    <row r="1567" spans="1:14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</row>
    <row r="1568" spans="1:14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</row>
    <row r="1569" spans="1:14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</row>
    <row r="1570" spans="1:14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</row>
    <row r="1571" spans="1:14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</row>
    <row r="1572" spans="1:14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</row>
    <row r="1573" spans="1:14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</row>
    <row r="1574" spans="1:14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</row>
    <row r="1575" spans="1:14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</row>
    <row r="1576" spans="1:14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</row>
    <row r="1577" spans="1:14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</row>
    <row r="1578" spans="1:14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</row>
    <row r="1579" spans="1:14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</row>
    <row r="1580" spans="1:14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</row>
    <row r="1581" spans="1:14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</row>
    <row r="1582" spans="1:14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</row>
    <row r="1583" spans="1:14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</row>
    <row r="1584" spans="1:14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</row>
    <row r="1585" spans="1:14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</row>
    <row r="1586" spans="1:14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</row>
    <row r="1587" spans="1:14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</row>
    <row r="1588" spans="1:14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</row>
    <row r="1589" spans="1:14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</row>
    <row r="1590" spans="1:14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</row>
    <row r="1591" spans="1:14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</row>
    <row r="1592" spans="1:14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</row>
    <row r="1593" spans="1:14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</row>
    <row r="1594" spans="1:14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</row>
    <row r="1595" spans="1:14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</row>
    <row r="1596" spans="1:14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</row>
    <row r="1597" spans="1:14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</row>
    <row r="1598" spans="1:14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</row>
    <row r="1599" spans="1:14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</row>
    <row r="1600" spans="1:14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</row>
    <row r="1601" spans="1:14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</row>
    <row r="1602" spans="1:14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</row>
    <row r="1603" spans="1:14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</row>
    <row r="1604" spans="1:14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</row>
    <row r="1605" spans="1:14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</row>
    <row r="1606" spans="1:14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</row>
    <row r="1607" spans="1:14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</row>
    <row r="1608" spans="1:14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</row>
    <row r="1609" spans="1:14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</row>
    <row r="1610" spans="1:14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</row>
    <row r="1611" spans="1:14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</row>
    <row r="1612" spans="1:14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</row>
    <row r="1613" spans="1:14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</row>
    <row r="1614" spans="1:14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</row>
    <row r="1615" spans="1:14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</row>
    <row r="1616" spans="1:14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</row>
    <row r="1617" spans="1:14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</row>
    <row r="1618" spans="1:14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</row>
    <row r="1619" spans="1:14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</row>
    <row r="1620" spans="1:14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</row>
    <row r="1621" spans="1:14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</row>
    <row r="1622" spans="1:14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</row>
    <row r="1623" spans="1:14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</row>
    <row r="1624" spans="1:14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</row>
    <row r="1625" spans="1:14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</row>
    <row r="1626" spans="1:14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</row>
    <row r="1627" spans="1:14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</row>
    <row r="1628" spans="1:14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</row>
    <row r="1629" spans="1:14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</row>
    <row r="1630" spans="1:14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</row>
    <row r="1631" spans="1:14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</row>
    <row r="1632" spans="1:14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</row>
    <row r="1633" spans="1:14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</row>
    <row r="1634" spans="1:14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</row>
    <row r="1635" spans="1:14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</row>
    <row r="1636" spans="1:14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</row>
    <row r="1637" spans="1:14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</row>
    <row r="1638" spans="1:14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</row>
    <row r="1639" spans="1:14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</row>
    <row r="1640" spans="1:14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</row>
    <row r="1641" spans="1:14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</row>
    <row r="1642" spans="1:14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</row>
    <row r="1643" spans="1:14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</row>
    <row r="1644" spans="1:14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</row>
    <row r="1645" spans="1:14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</row>
    <row r="1646" spans="1:14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</row>
    <row r="1647" spans="1:14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</row>
    <row r="1648" spans="1:14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</row>
    <row r="1649" spans="1:14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</row>
    <row r="1650" spans="1:14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</row>
    <row r="1651" spans="1:14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</row>
    <row r="1652" spans="1:14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</row>
    <row r="1653" spans="1:14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</row>
    <row r="1654" spans="1:14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</row>
    <row r="1655" spans="1:14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</row>
    <row r="1656" spans="1:14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</row>
    <row r="1657" spans="1:14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</row>
    <row r="1658" spans="1:14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</row>
    <row r="1659" spans="1:14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</row>
    <row r="1660" spans="1:14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</row>
    <row r="1661" spans="1:14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</row>
    <row r="1662" spans="1:14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</row>
    <row r="1663" spans="1:14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</row>
    <row r="1664" spans="1:14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</row>
    <row r="1665" spans="1:14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</row>
    <row r="1666" spans="1:14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</row>
    <row r="1667" spans="1:14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</row>
    <row r="1668" spans="1:14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</row>
    <row r="1669" spans="1:14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</row>
    <row r="1670" spans="1:14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</row>
    <row r="1671" spans="1:14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</row>
    <row r="1672" spans="1:14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</row>
    <row r="1673" spans="1:14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</row>
    <row r="1674" spans="1:14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</row>
    <row r="1675" spans="1:14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</row>
    <row r="1676" spans="1:14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</row>
    <row r="1677" spans="1:14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</row>
    <row r="1678" spans="1:14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</row>
    <row r="1679" spans="1:14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</row>
    <row r="1680" spans="1:14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</row>
    <row r="1681" spans="1:14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</row>
    <row r="1682" spans="1:14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</row>
    <row r="1683" spans="1:14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</row>
    <row r="1684" spans="1:14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</row>
    <row r="1685" spans="1:14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</row>
    <row r="1686" spans="1:14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</row>
    <row r="1687" spans="1:14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</row>
    <row r="1688" spans="1:14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</row>
    <row r="1689" spans="1:14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</row>
    <row r="1690" spans="1:14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</row>
    <row r="1691" spans="1:14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</row>
    <row r="1692" spans="1:14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</row>
    <row r="1693" spans="1:14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</row>
    <row r="1694" spans="1:14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</row>
    <row r="1695" spans="1:14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</row>
    <row r="1696" spans="1:14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</row>
    <row r="1697" spans="1:14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</row>
    <row r="1698" spans="1:14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</row>
    <row r="1699" spans="1:14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</row>
    <row r="1700" spans="1:14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</row>
    <row r="1701" spans="1:14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</row>
    <row r="1702" spans="1:14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</row>
    <row r="1703" spans="1:14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</row>
    <row r="1704" spans="1:14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</row>
    <row r="1705" spans="1:14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</row>
    <row r="1706" spans="1:14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</row>
    <row r="1707" spans="1:14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</row>
    <row r="1708" spans="1:14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</row>
    <row r="1709" spans="1:14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</row>
    <row r="1710" spans="1:14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</row>
    <row r="1711" spans="1:14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</row>
    <row r="1712" spans="1:14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</row>
    <row r="1713" spans="1:14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</row>
    <row r="1714" spans="1:14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</row>
    <row r="1715" spans="1:14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</row>
    <row r="1716" spans="1:14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</row>
    <row r="1717" spans="1:14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</row>
    <row r="1718" spans="1:14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</row>
    <row r="1719" spans="1:14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</row>
    <row r="1720" spans="1:14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</row>
    <row r="1721" spans="1:14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</row>
    <row r="1722" spans="1:14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</row>
    <row r="1723" spans="1:14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</row>
    <row r="1724" spans="1:14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</row>
    <row r="1725" spans="1:14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</row>
    <row r="1726" spans="1:14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</row>
    <row r="1727" spans="1:14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</row>
    <row r="1728" spans="1:14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</row>
    <row r="1729" spans="1:14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</row>
    <row r="1730" spans="1:14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</row>
    <row r="1731" spans="1:14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</row>
    <row r="1732" spans="1:14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</row>
    <row r="1733" spans="1:14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</row>
    <row r="1734" spans="1:14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</row>
    <row r="1735" spans="1:14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</row>
    <row r="1736" spans="1:14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</row>
    <row r="1737" spans="1:14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</row>
    <row r="1738" spans="1:14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</row>
    <row r="1739" spans="1:14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</row>
    <row r="1740" spans="1:14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</row>
    <row r="1741" spans="1:14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</row>
    <row r="1742" spans="1:14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</row>
    <row r="1743" spans="1:14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</row>
    <row r="1744" spans="1:14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</row>
    <row r="1745" spans="1:14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</row>
    <row r="1746" spans="1:14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</row>
    <row r="1747" spans="1:14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</row>
    <row r="1748" spans="1:14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</row>
    <row r="1749" spans="1:14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</row>
    <row r="1750" spans="1:14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</row>
    <row r="1751" spans="1:14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</row>
    <row r="1752" spans="1:14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</row>
    <row r="1753" spans="1:14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</row>
    <row r="1754" spans="1:14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</row>
    <row r="1755" spans="1:14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</row>
    <row r="1756" spans="1:14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</row>
    <row r="1757" spans="1:14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</row>
    <row r="1758" spans="1:14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</row>
    <row r="1759" spans="1:14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</row>
    <row r="1760" spans="1:14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</row>
    <row r="1761" spans="1:14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</row>
    <row r="1762" spans="1:14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</row>
    <row r="1763" spans="1:14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</row>
    <row r="1764" spans="1:14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</row>
    <row r="1765" spans="1:14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</row>
    <row r="1766" spans="1:14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</row>
    <row r="1767" spans="1:14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</row>
    <row r="1768" spans="1:14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</row>
    <row r="1769" spans="1:14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</row>
    <row r="1770" spans="1:14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</row>
    <row r="1771" spans="1:14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</row>
    <row r="1772" spans="1:14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</row>
    <row r="1773" spans="1:14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</row>
    <row r="1774" spans="1:14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</row>
    <row r="1775" spans="1:14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</row>
    <row r="1776" spans="1:14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</row>
    <row r="1777" spans="1:14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</row>
    <row r="1778" spans="1:14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</row>
    <row r="1779" spans="1:14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</row>
    <row r="1780" spans="1:14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</row>
    <row r="1781" spans="1:14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</row>
    <row r="1782" spans="1:14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</row>
    <row r="1783" spans="1:14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</row>
    <row r="1784" spans="1:14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</row>
    <row r="1785" spans="1:14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</row>
    <row r="1786" spans="1:14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</row>
    <row r="1787" spans="1:14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</row>
    <row r="1788" spans="1:14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</row>
    <row r="1789" spans="1:14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</row>
    <row r="1790" spans="1:14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</row>
    <row r="1791" spans="1:14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</row>
    <row r="1792" spans="1:14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</row>
    <row r="1793" spans="1:14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</row>
    <row r="1794" spans="1:14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</row>
    <row r="1795" spans="1:14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</row>
    <row r="1796" spans="1:14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</row>
    <row r="1797" spans="1:14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</row>
    <row r="1798" spans="1:14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</row>
    <row r="1799" spans="1:14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</row>
    <row r="1800" spans="1:14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</row>
    <row r="1801" spans="1:14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</row>
    <row r="1802" spans="1:14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</row>
    <row r="1803" spans="1:14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</row>
    <row r="1804" spans="1:14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</row>
    <row r="1805" spans="1:14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</row>
    <row r="1806" spans="1:14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</row>
    <row r="1807" spans="1:14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</row>
    <row r="1808" spans="1:14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</row>
    <row r="1809" spans="1:14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</row>
    <row r="1810" spans="1:14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</row>
    <row r="1811" spans="1:14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</row>
    <row r="1812" spans="1:14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</row>
    <row r="1813" spans="1:14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</row>
    <row r="1814" spans="1:14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</row>
    <row r="1815" spans="1:14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</row>
    <row r="1816" spans="1:14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</row>
    <row r="1817" spans="1:14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</row>
    <row r="1818" spans="1:14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</row>
    <row r="1819" spans="1:14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</row>
    <row r="1820" spans="1:14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</row>
    <row r="1821" spans="1:14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</row>
    <row r="1822" spans="1:14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</row>
    <row r="1823" spans="1:14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</row>
    <row r="1824" spans="1:14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</row>
    <row r="1825" spans="1:14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</row>
    <row r="1826" spans="1:14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</row>
    <row r="1827" spans="1:14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</row>
    <row r="1828" spans="1:14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</row>
    <row r="1829" spans="1:14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</row>
    <row r="1830" spans="1:14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</row>
    <row r="1831" spans="1:14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</row>
    <row r="1832" spans="1:14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</row>
    <row r="1833" spans="1:14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</row>
    <row r="1834" spans="1:14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</row>
    <row r="1835" spans="1:14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</row>
    <row r="1836" spans="1:14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</row>
    <row r="1837" spans="1:14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</row>
    <row r="1838" spans="1:14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</row>
    <row r="1839" spans="1:14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</row>
    <row r="1840" spans="1:14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</row>
    <row r="1841" spans="1:14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</row>
    <row r="1842" spans="1:14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</row>
    <row r="1843" spans="1:14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</row>
    <row r="1844" spans="1:14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</row>
    <row r="1845" spans="1:14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</row>
    <row r="1846" spans="1:14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</row>
    <row r="1847" spans="1:14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</row>
    <row r="1848" spans="1:14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</row>
    <row r="1849" spans="1:14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</row>
    <row r="1850" spans="1:14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</row>
    <row r="1851" spans="1:14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</row>
    <row r="1852" spans="1:14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</row>
    <row r="1853" spans="1:14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</row>
    <row r="1854" spans="1:14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</row>
    <row r="1855" spans="1:14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</row>
    <row r="1856" spans="1:14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</row>
    <row r="1857" spans="1:14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</row>
    <row r="1858" spans="1:14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</row>
    <row r="1859" spans="1:14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</row>
    <row r="1860" spans="1:14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</row>
    <row r="1861" spans="1:14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</row>
    <row r="1862" spans="1:14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</row>
    <row r="1863" spans="1:14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</row>
    <row r="1864" spans="1:14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</row>
    <row r="1865" spans="1:14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</row>
    <row r="1866" spans="1:14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</row>
    <row r="1867" spans="1:14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</row>
    <row r="1868" spans="1:14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</row>
    <row r="1869" spans="1:14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</row>
    <row r="1870" spans="1:14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</row>
    <row r="1871" spans="1:14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</row>
    <row r="1872" spans="1:14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</row>
    <row r="1873" spans="1:14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</row>
    <row r="1874" spans="1:14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</row>
    <row r="1875" spans="1:14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</row>
    <row r="1876" spans="1:14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</row>
    <row r="1877" spans="1:14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</row>
    <row r="1878" spans="1:14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</row>
    <row r="1879" spans="1:14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</row>
    <row r="1880" spans="1:14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</row>
    <row r="1881" spans="1:14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</row>
    <row r="1882" spans="1:14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</row>
    <row r="1883" spans="1:14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</row>
    <row r="1884" spans="1:14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</row>
    <row r="1885" spans="1:14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</row>
    <row r="1886" spans="1:14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</row>
    <row r="1887" spans="1:14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</row>
    <row r="1888" spans="1:14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</row>
    <row r="1889" spans="1:14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</row>
    <row r="1890" spans="1:14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</row>
    <row r="1891" spans="1:14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</row>
    <row r="1892" spans="1:14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</row>
    <row r="1893" spans="1:14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</row>
    <row r="1894" spans="1:14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</row>
    <row r="1895" spans="1:14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</row>
    <row r="1896" spans="1:14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</row>
    <row r="1897" spans="1:14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</row>
    <row r="1898" spans="1:14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</row>
    <row r="1899" spans="1:14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</row>
    <row r="1900" spans="1:14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</row>
    <row r="1901" spans="1:14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</row>
    <row r="1902" spans="1:14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</row>
    <row r="1903" spans="1:14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</row>
    <row r="1904" spans="1:14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</row>
    <row r="1905" spans="1:14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</row>
    <row r="1906" spans="1:14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</row>
    <row r="1907" spans="1:14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</row>
    <row r="1908" spans="1:14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</row>
    <row r="1909" spans="1:14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</row>
    <row r="1910" spans="1:14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</row>
    <row r="1911" spans="1:14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</row>
    <row r="1912" spans="1:14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</row>
    <row r="1913" spans="1:14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</row>
    <row r="1914" spans="1:14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</row>
    <row r="1915" spans="1:14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</row>
    <row r="1916" spans="1:14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</row>
    <row r="1917" spans="1:14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</row>
    <row r="1918" spans="1:14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</row>
    <row r="1919" spans="1:14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</row>
    <row r="1920" spans="1:14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</row>
    <row r="1921" spans="1:14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</row>
    <row r="1922" spans="1:14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</row>
    <row r="1923" spans="1:14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</row>
    <row r="1924" spans="1:14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</row>
    <row r="1925" spans="1:14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</row>
    <row r="1926" spans="1:14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</row>
    <row r="1927" spans="1:14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</row>
    <row r="1928" spans="1:14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</row>
    <row r="1929" spans="1:14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</row>
    <row r="1930" spans="1:14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</row>
    <row r="1931" spans="1:14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</row>
    <row r="1932" spans="1:14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</row>
    <row r="1933" spans="1:14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</row>
    <row r="1934" spans="1:14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</row>
    <row r="1935" spans="1:14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</row>
    <row r="1936" spans="1:14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</row>
    <row r="1937" spans="1:14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</row>
    <row r="1938" spans="1:14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</row>
    <row r="1939" spans="1:14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</row>
    <row r="1940" spans="1:14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</row>
    <row r="1941" spans="1:14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</row>
    <row r="1942" spans="1:14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</row>
    <row r="1943" spans="1:14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</row>
    <row r="1944" spans="1:14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</row>
    <row r="1945" spans="1:14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</row>
    <row r="1946" spans="1:14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</row>
    <row r="1947" spans="1:14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</row>
    <row r="1948" spans="1:14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</row>
    <row r="1949" spans="1:14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</row>
    <row r="1950" spans="1:14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</row>
    <row r="1951" spans="1:14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</row>
    <row r="1952" spans="1:14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</row>
    <row r="1953" spans="1:14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</row>
    <row r="1954" spans="1:14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</row>
    <row r="1955" spans="1:14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</row>
    <row r="1956" spans="1:14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</row>
    <row r="1957" spans="1:14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</row>
    <row r="1958" spans="1:14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</row>
    <row r="1959" spans="1:14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</row>
    <row r="1960" spans="1:14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</row>
    <row r="1961" spans="1:14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</row>
    <row r="1962" spans="1:14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</row>
    <row r="1963" spans="1:14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</row>
    <row r="1964" spans="1:14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</row>
    <row r="1965" spans="1:14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</row>
    <row r="1966" spans="1:14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</row>
    <row r="1967" spans="1:14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</row>
    <row r="1968" spans="1:14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</row>
    <row r="1969" spans="1:14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</row>
    <row r="1970" spans="1:14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</row>
    <row r="1971" spans="1:14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</row>
    <row r="1972" spans="1:14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</row>
    <row r="1973" spans="1:14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</row>
    <row r="1974" spans="1:14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</row>
    <row r="1975" spans="1:14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</row>
    <row r="1976" spans="1:14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</row>
    <row r="1977" spans="1:14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</row>
    <row r="1978" spans="1:14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</row>
    <row r="1979" spans="1:14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</row>
    <row r="1980" spans="1:14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</row>
    <row r="1981" spans="1:14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</row>
    <row r="1982" spans="1:14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</row>
    <row r="1983" spans="1:14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</row>
    <row r="1984" spans="1:14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</row>
    <row r="1985" spans="1:14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</row>
    <row r="1986" spans="1:14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</row>
    <row r="1987" spans="1:14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</row>
    <row r="1988" spans="1:14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</row>
    <row r="1989" spans="1:14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</row>
    <row r="1990" spans="1:14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</row>
    <row r="1991" spans="1:14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</row>
    <row r="1992" spans="1:14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</row>
    <row r="1993" spans="1:14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</row>
    <row r="1994" spans="1:14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</row>
    <row r="1995" spans="1:14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</row>
    <row r="1996" spans="1:14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</row>
    <row r="1997" spans="1:14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</row>
    <row r="1998" spans="1:14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</row>
    <row r="1999" spans="1:14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</row>
    <row r="2000" spans="1:14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</row>
    <row r="2001" spans="1:14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</row>
    <row r="2002" spans="1:14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</row>
    <row r="2003" spans="1:14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</row>
    <row r="2004" spans="1:14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</row>
    <row r="2005" spans="1:14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</row>
    <row r="2006" spans="1:14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</row>
    <row r="2007" spans="1:14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</row>
    <row r="2008" spans="1:14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</row>
    <row r="2009" spans="1:14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</row>
    <row r="2010" spans="1:14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</row>
    <row r="2011" spans="1:14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</row>
    <row r="2012" spans="1:14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</row>
    <row r="2013" spans="1:14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</row>
    <row r="2014" spans="1:14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</row>
    <row r="2015" spans="1:14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</row>
    <row r="2016" spans="1:14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</row>
    <row r="2017" spans="1:14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</row>
    <row r="2018" spans="1:14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</row>
    <row r="2019" spans="1:14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</row>
    <row r="2020" spans="1:14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</row>
    <row r="2021" spans="1:14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</row>
    <row r="2022" spans="1:14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</row>
    <row r="2023" spans="1:14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</row>
    <row r="2024" spans="1:14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</row>
    <row r="2025" spans="1:14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</row>
    <row r="2026" spans="1:14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</row>
    <row r="2027" spans="1:14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</row>
    <row r="2028" spans="1:14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</row>
    <row r="2029" spans="1:14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</row>
    <row r="2030" spans="1:14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</row>
    <row r="2031" spans="1:14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</row>
    <row r="2032" spans="1:14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</row>
    <row r="2033" spans="1:14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</row>
    <row r="2034" spans="1:14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</row>
    <row r="2035" spans="1:14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</row>
    <row r="2036" spans="1:14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</row>
    <row r="2037" spans="1:14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</row>
    <row r="2038" spans="1:14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</row>
    <row r="2039" spans="1:14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</row>
    <row r="2040" spans="1:14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</row>
    <row r="2041" spans="1:14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</row>
    <row r="2042" spans="1:14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</row>
    <row r="2043" spans="1:14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</row>
    <row r="2044" spans="1:14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</row>
    <row r="2045" spans="1:14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</row>
    <row r="2046" spans="1:14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</row>
    <row r="2047" spans="1:14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</row>
    <row r="2048" spans="1:14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</row>
    <row r="2049" spans="1:14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</row>
    <row r="2050" spans="1:14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</row>
    <row r="2051" spans="1:14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</row>
    <row r="2052" spans="1:14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</row>
    <row r="2053" spans="1:14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</row>
    <row r="2054" spans="1:14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</row>
    <row r="2055" spans="1:14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</row>
    <row r="2056" spans="1:14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</row>
    <row r="2057" spans="1:14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</row>
    <row r="2058" spans="1:14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</row>
    <row r="2059" spans="1:14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</row>
    <row r="2060" spans="1:14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</row>
    <row r="2061" spans="1:14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</row>
    <row r="2062" spans="1:14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</row>
    <row r="2063" spans="1:14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</row>
    <row r="2064" spans="1:14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</row>
    <row r="2065" spans="1:14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</row>
    <row r="2066" spans="1:14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</row>
    <row r="2067" spans="1:14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</row>
    <row r="2068" spans="1:14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</row>
    <row r="2069" spans="1:14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</row>
    <row r="2070" spans="1:14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</row>
    <row r="2071" spans="1:14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</row>
    <row r="2072" spans="1:14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</row>
    <row r="2073" spans="1:14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</row>
    <row r="2074" spans="1:14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</row>
    <row r="2075" spans="1:14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</row>
    <row r="2076" spans="1:14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</row>
    <row r="2077" spans="1:14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</row>
    <row r="2078" spans="1:14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</row>
    <row r="2079" spans="1:14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</row>
    <row r="2080" spans="1:14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</row>
    <row r="2081" spans="1:14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</row>
    <row r="2082" spans="1:14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</row>
    <row r="2083" spans="1:14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</row>
    <row r="2084" spans="1:14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</row>
    <row r="2085" spans="1:14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</row>
    <row r="2086" spans="1:14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</row>
    <row r="2087" spans="1:14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</row>
    <row r="2088" spans="1:14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</row>
    <row r="2089" spans="1:14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</row>
    <row r="2090" spans="1:14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</row>
    <row r="2091" spans="1:14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</row>
    <row r="2092" spans="1:14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</row>
    <row r="2093" spans="1:14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</row>
    <row r="2094" spans="1:14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</row>
    <row r="2095" spans="1:14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</row>
    <row r="2096" spans="1:14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</row>
    <row r="2097" spans="1:14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</row>
    <row r="2098" spans="1:14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</row>
    <row r="2099" spans="1:14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</row>
    <row r="2100" spans="1:14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</row>
    <row r="2101" spans="1:14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</row>
    <row r="2102" spans="1:14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</row>
    <row r="2103" spans="1:14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</row>
    <row r="2104" spans="1:14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</row>
    <row r="2105" spans="1:14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</row>
    <row r="2106" spans="1:14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</row>
    <row r="2107" spans="1:14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</row>
    <row r="2108" spans="1:14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</row>
    <row r="2109" spans="1:14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</row>
    <row r="2110" spans="1:14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</row>
    <row r="2111" spans="1:14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</row>
    <row r="2112" spans="1:14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</row>
    <row r="2113" spans="1:14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</row>
    <row r="2114" spans="1:14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</row>
    <row r="2115" spans="1:14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</row>
    <row r="2116" spans="1:14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</row>
    <row r="2117" spans="1:14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</row>
    <row r="2118" spans="1:14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</row>
    <row r="2119" spans="1:14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</row>
    <row r="2120" spans="1:14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</row>
    <row r="2121" spans="1:14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</row>
    <row r="2122" spans="1:14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</row>
    <row r="2123" spans="1:14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</row>
    <row r="2124" spans="1:14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</row>
    <row r="2125" spans="1:14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</row>
    <row r="2126" spans="1:14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</row>
    <row r="2127" spans="1:14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</row>
    <row r="2128" spans="1:14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</row>
    <row r="2129" spans="1:14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</row>
    <row r="2130" spans="1:14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</row>
    <row r="2131" spans="1:14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</row>
    <row r="2132" spans="1:14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</row>
    <row r="2133" spans="1:14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</row>
    <row r="2134" spans="1:14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</row>
    <row r="2135" spans="1:14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</row>
    <row r="2136" spans="1:14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</row>
    <row r="2137" spans="1:14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</row>
    <row r="2138" spans="1:14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</row>
    <row r="2139" spans="1:14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</row>
    <row r="2140" spans="1:14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</row>
    <row r="2141" spans="1:14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</row>
    <row r="2142" spans="1:14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</row>
    <row r="2143" spans="1:14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</row>
    <row r="2144" spans="1:14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</row>
    <row r="2145" spans="1:14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</row>
    <row r="2146" spans="1:14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</row>
    <row r="2147" spans="1:14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</row>
    <row r="2148" spans="1:14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</row>
    <row r="2149" spans="1:14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</row>
    <row r="2150" spans="1:14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</row>
    <row r="2151" spans="1:14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</row>
    <row r="2152" spans="1:14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</row>
    <row r="2153" spans="1:14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</row>
    <row r="2154" spans="1:14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</row>
    <row r="2155" spans="1:14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</row>
    <row r="2156" spans="1:14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</row>
    <row r="2157" spans="1:14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</row>
    <row r="2158" spans="1:14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</row>
    <row r="2159" spans="1:14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</row>
    <row r="2160" spans="1:14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</row>
    <row r="2161" spans="1:14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</row>
    <row r="2162" spans="1:14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</row>
    <row r="2163" spans="1:14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</row>
    <row r="2164" spans="1:14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</row>
    <row r="2165" spans="1:14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</row>
    <row r="2166" spans="1:14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</row>
    <row r="2167" spans="1:14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</row>
    <row r="2168" spans="1:14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</row>
    <row r="2169" spans="1:14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</row>
    <row r="2170" spans="1:14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</row>
    <row r="2171" spans="1:14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</row>
    <row r="2172" spans="1:14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</row>
    <row r="2173" spans="1:14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</row>
    <row r="2174" spans="1:14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</row>
    <row r="2175" spans="1:14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</row>
    <row r="2176" spans="1:14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</row>
    <row r="2177" spans="1:14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</row>
    <row r="2178" spans="1:14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</row>
    <row r="2179" spans="1:14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</row>
    <row r="2180" spans="1:14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</row>
    <row r="2181" spans="1:14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</row>
    <row r="2182" spans="1:14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</row>
    <row r="2183" spans="1:14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</row>
    <row r="2184" spans="1:14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</row>
    <row r="2185" spans="1:14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</row>
    <row r="2186" spans="1:14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</row>
    <row r="2187" spans="1:14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</row>
    <row r="2188" spans="1:14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</row>
    <row r="2189" spans="1:14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</row>
    <row r="2190" spans="1:14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</row>
    <row r="2191" spans="1:14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</row>
    <row r="2192" spans="1:14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</row>
    <row r="2193" spans="1:14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</row>
    <row r="2194" spans="1:14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</row>
    <row r="2195" spans="1:14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</row>
    <row r="2196" spans="1:14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</row>
    <row r="2197" spans="1:14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</row>
    <row r="2198" spans="1:14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</row>
    <row r="2199" spans="1:14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</row>
    <row r="2200" spans="1:14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</row>
    <row r="2201" spans="1:14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</row>
    <row r="2202" spans="1:14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</row>
    <row r="2203" spans="1:14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</row>
    <row r="2204" spans="1:14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</row>
    <row r="2205" spans="1:14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</row>
    <row r="2206" spans="1:14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</row>
    <row r="2207" spans="1:14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</row>
    <row r="2208" spans="1:14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</row>
    <row r="2209" spans="1:14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</row>
    <row r="2210" spans="1:14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</row>
    <row r="2211" spans="1:14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</row>
    <row r="2212" spans="1:14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</row>
    <row r="2213" spans="1:14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</row>
    <row r="2214" spans="1:14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</row>
    <row r="2215" spans="1:14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</row>
    <row r="2216" spans="1:14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</row>
    <row r="2217" spans="1:14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</row>
    <row r="2218" spans="1:14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</row>
    <row r="2219" spans="1:14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</row>
    <row r="2220" spans="1:14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</row>
    <row r="2221" spans="1:14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</row>
    <row r="2222" spans="1:14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</row>
    <row r="2223" spans="1:14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</row>
    <row r="2224" spans="1:14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</row>
    <row r="2225" spans="1:14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</row>
    <row r="2226" spans="1:14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</row>
    <row r="2227" spans="1:14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</row>
    <row r="2228" spans="1:14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</row>
    <row r="2229" spans="1:14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</row>
    <row r="2230" spans="1:14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</row>
    <row r="2231" spans="1:14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</row>
    <row r="2232" spans="1:14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</row>
    <row r="2233" spans="1:14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</row>
    <row r="2234" spans="1:14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</row>
    <row r="2235" spans="1:14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</row>
    <row r="2236" spans="1:14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</row>
    <row r="2237" spans="1:14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</row>
    <row r="2238" spans="1:14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</row>
    <row r="2239" spans="1:14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</row>
    <row r="2240" spans="1:14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</row>
    <row r="2241" spans="1:14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</row>
    <row r="2242" spans="1:14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</row>
    <row r="2243" spans="1:14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</row>
    <row r="2244" spans="1:14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</row>
    <row r="2245" spans="1:14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</row>
    <row r="2246" spans="1:14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</row>
    <row r="2247" spans="1:14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</row>
    <row r="2248" spans="1:14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</row>
    <row r="2249" spans="1:14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</row>
    <row r="2250" spans="1:14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</row>
    <row r="2251" spans="1:14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</row>
    <row r="2252" spans="1:14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</row>
    <row r="2253" spans="1:14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</row>
    <row r="2254" spans="1:14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</row>
    <row r="2255" spans="1:14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</row>
    <row r="2256" spans="1:14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</row>
    <row r="2257" spans="1:14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</row>
    <row r="2258" spans="1:14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</row>
    <row r="2259" spans="1:14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</row>
    <row r="2260" spans="1:14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</row>
    <row r="2261" spans="1:14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</row>
    <row r="2262" spans="1:14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</row>
    <row r="2263" spans="1:14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</row>
    <row r="2264" spans="1:14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</row>
    <row r="2265" spans="1:14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</row>
    <row r="2266" spans="1:14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</row>
    <row r="2267" spans="1:14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</row>
    <row r="2268" spans="1:14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</row>
    <row r="2269" spans="1:14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</row>
    <row r="2270" spans="1:14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</row>
    <row r="2271" spans="1:14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</row>
    <row r="2272" spans="1:14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</row>
    <row r="2273" spans="1:14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</row>
    <row r="2274" spans="1:14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</row>
    <row r="2275" spans="1:14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</row>
    <row r="2276" spans="1:14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</row>
    <row r="2277" spans="1:14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</row>
    <row r="2278" spans="1:14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</row>
    <row r="2279" spans="1:14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</row>
    <row r="2280" spans="1:14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</row>
    <row r="2281" spans="1:14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</row>
    <row r="2282" spans="1:14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</row>
    <row r="2283" spans="1:14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</row>
    <row r="2284" spans="1:14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</row>
    <row r="2285" spans="1:14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</row>
    <row r="2286" spans="1:14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</row>
    <row r="2287" spans="1:14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</row>
    <row r="2288" spans="1:14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</row>
    <row r="2289" spans="1:14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</row>
    <row r="2290" spans="1:14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</row>
    <row r="2291" spans="1:14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</row>
    <row r="2292" spans="1:14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</row>
    <row r="2293" spans="1:14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</row>
    <row r="2294" spans="1:14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</row>
    <row r="2295" spans="1:14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</row>
    <row r="2296" spans="1:14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</row>
    <row r="2297" spans="1:14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</row>
    <row r="2298" spans="1:14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</row>
    <row r="2299" spans="1:14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</row>
    <row r="2300" spans="1:14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</row>
    <row r="2301" spans="1:14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</row>
    <row r="2302" spans="1:14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</row>
    <row r="2303" spans="1:14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</row>
    <row r="2304" spans="1:14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</row>
    <row r="2305" spans="1:14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</row>
    <row r="2306" spans="1:14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</row>
    <row r="2307" spans="1:14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</row>
    <row r="2308" spans="1:14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</row>
    <row r="2309" spans="1:14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</row>
    <row r="2310" spans="1:14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</row>
    <row r="2311" spans="1:14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</row>
    <row r="2312" spans="1:14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</row>
    <row r="2313" spans="1:14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</row>
    <row r="2314" spans="1:14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</row>
    <row r="2315" spans="1:14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</row>
    <row r="2316" spans="1:14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</row>
    <row r="2317" spans="1:14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</row>
    <row r="2318" spans="1:14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</row>
    <row r="2319" spans="1:14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</row>
    <row r="2320" spans="1:14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</row>
    <row r="2321" spans="1:14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</row>
    <row r="2322" spans="1:14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</row>
    <row r="2323" spans="1:14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</row>
    <row r="2324" spans="1:14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</row>
    <row r="2325" spans="1:14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</row>
    <row r="2326" spans="1:14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</row>
    <row r="2327" spans="1:14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</row>
    <row r="2328" spans="1:14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</row>
    <row r="2329" spans="1:14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</row>
    <row r="2330" spans="1:14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</row>
    <row r="2331" spans="1:14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</row>
    <row r="2332" spans="1:14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</row>
    <row r="2333" spans="1:14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</row>
    <row r="2334" spans="1:14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</row>
    <row r="2335" spans="1:14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</row>
    <row r="2336" spans="1:14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</row>
    <row r="2337" spans="1:14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</row>
    <row r="2338" spans="1:14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</row>
    <row r="2339" spans="1:14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</row>
    <row r="2340" spans="1:14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</row>
    <row r="2341" spans="1:14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</row>
    <row r="2342" spans="1:14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</row>
    <row r="2343" spans="1:14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</row>
    <row r="2344" spans="1:14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</row>
    <row r="2345" spans="1:14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</row>
    <row r="2346" spans="1:14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</row>
    <row r="2347" spans="1:14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</row>
    <row r="2348" spans="1:14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</row>
    <row r="2349" spans="1:14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</row>
    <row r="2350" spans="1:14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</row>
    <row r="2351" spans="1:14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</row>
    <row r="2352" spans="1:14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</row>
    <row r="2353" spans="1:14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</row>
    <row r="2354" spans="1:14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</row>
    <row r="2355" spans="1:14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</row>
    <row r="2356" spans="1:14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</row>
    <row r="2357" spans="1:14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</row>
    <row r="2358" spans="1:14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</row>
    <row r="2359" spans="1:14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</row>
    <row r="2360" spans="1:14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</row>
    <row r="2361" spans="1:14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</row>
    <row r="2362" spans="1:14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</row>
    <row r="2363" spans="1:14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</row>
    <row r="2364" spans="1:14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</row>
    <row r="2365" spans="1:14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</row>
    <row r="2366" spans="1:14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</row>
    <row r="2367" spans="1:14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</row>
    <row r="2368" spans="1:14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</row>
    <row r="2369" spans="1:14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</row>
    <row r="2370" spans="1:14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</row>
    <row r="2371" spans="1:14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</row>
    <row r="2372" spans="1:14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</row>
    <row r="2373" spans="1:14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</row>
    <row r="2374" spans="1:14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</row>
    <row r="2375" spans="1:14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</row>
    <row r="2376" spans="1:14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</row>
    <row r="2377" spans="1:14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</row>
    <row r="2378" spans="1:14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</row>
    <row r="2379" spans="1:14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</row>
    <row r="2380" spans="1:14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</row>
    <row r="2381" spans="1:14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</row>
    <row r="2382" spans="1:14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</row>
    <row r="2383" spans="1:14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</row>
    <row r="2384" spans="1:14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</row>
    <row r="2385" spans="1:14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</row>
    <row r="2386" spans="1:14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</row>
    <row r="2387" spans="1:14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</row>
    <row r="2388" spans="1:14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</row>
    <row r="2389" spans="1:14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</row>
    <row r="2390" spans="1:14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</row>
    <row r="2391" spans="1:14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</row>
    <row r="2392" spans="1:14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</row>
    <row r="2393" spans="1:14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</row>
    <row r="2394" spans="1:14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</row>
    <row r="2395" spans="1:14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</row>
    <row r="2396" spans="1:14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</row>
    <row r="2397" spans="1:14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</row>
    <row r="2398" spans="1:14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</row>
    <row r="2399" spans="1:14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</row>
    <row r="2400" spans="1:14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</row>
    <row r="2401" spans="1:14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</row>
    <row r="2402" spans="1:14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</row>
    <row r="2403" spans="1:14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</row>
    <row r="2404" spans="1:14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</row>
    <row r="2405" spans="1:14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</row>
    <row r="2406" spans="1:14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</row>
    <row r="2407" spans="1:14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</row>
    <row r="2408" spans="1:14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</row>
    <row r="2409" spans="1:14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</row>
    <row r="2410" spans="1:14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</row>
    <row r="2411" spans="1:14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</row>
    <row r="2412" spans="1:14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</row>
    <row r="2413" spans="1:14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</row>
    <row r="2414" spans="1:14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</row>
    <row r="2415" spans="1:14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</row>
    <row r="2416" spans="1:14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</row>
    <row r="2417" spans="1:14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</row>
    <row r="2418" spans="1:14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</row>
    <row r="2419" spans="1:14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</row>
    <row r="2420" spans="1:14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</row>
    <row r="2421" spans="1:14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</row>
    <row r="2422" spans="1:14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</row>
    <row r="2423" spans="1:14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</row>
    <row r="2424" spans="1:14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</row>
    <row r="2425" spans="1:14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</row>
    <row r="2426" spans="1:14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</row>
    <row r="2427" spans="1:14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</row>
    <row r="2428" spans="1:14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</row>
    <row r="2429" spans="1:14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</row>
    <row r="2430" spans="1:14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</row>
    <row r="2431" spans="1:14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</row>
    <row r="2432" spans="1:14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</row>
    <row r="2433" spans="1:14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</row>
    <row r="2434" spans="1:14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</row>
    <row r="2435" spans="1:14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</row>
    <row r="2436" spans="1:14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</row>
    <row r="2437" spans="1:14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</row>
    <row r="2438" spans="1:14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</row>
    <row r="2439" spans="1:14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</row>
    <row r="2440" spans="1:14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</row>
    <row r="2441" spans="1:14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</row>
    <row r="2442" spans="1:14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</row>
    <row r="2443" spans="1:14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</row>
    <row r="2444" spans="1:14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</row>
    <row r="2445" spans="1:14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</row>
    <row r="2446" spans="1:14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</row>
    <row r="2447" spans="1:14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</row>
    <row r="2448" spans="1:14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</row>
    <row r="2449" spans="1:14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</row>
    <row r="2450" spans="1:14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</row>
    <row r="2451" spans="1:14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</row>
    <row r="2452" spans="1:14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</row>
    <row r="2453" spans="1:14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</row>
    <row r="2454" spans="1:14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</row>
    <row r="2455" spans="1:14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</row>
    <row r="2456" spans="1:14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</row>
    <row r="2457" spans="1:14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</row>
    <row r="2458" spans="1:14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</row>
    <row r="2459" spans="1:14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</row>
    <row r="2460" spans="1:14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</row>
    <row r="2461" spans="1:14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</row>
    <row r="2462" spans="1:14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</row>
    <row r="2463" spans="1:14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</row>
    <row r="2464" spans="1:14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</row>
    <row r="2465" spans="1:14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</row>
    <row r="2466" spans="1:14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</row>
    <row r="2467" spans="1:14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</row>
    <row r="2468" spans="1:14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</row>
    <row r="2469" spans="1:14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</row>
    <row r="2470" spans="1:14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</row>
    <row r="2471" spans="1:14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</row>
    <row r="2472" spans="1:14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</row>
    <row r="2473" spans="1:14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</row>
    <row r="2474" spans="1:14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</row>
    <row r="2475" spans="1:14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</row>
    <row r="2476" spans="1:14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</row>
    <row r="2477" spans="1:14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</row>
    <row r="2478" spans="1:14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</row>
    <row r="2479" spans="1:14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</row>
    <row r="2480" spans="1:14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</row>
    <row r="2481" spans="1:14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</row>
    <row r="2482" spans="1:14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</row>
    <row r="2483" spans="1:14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</row>
    <row r="2484" spans="1:14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</row>
    <row r="2485" spans="1:14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</row>
    <row r="2486" spans="1:14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</row>
    <row r="2487" spans="1:14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</row>
    <row r="2488" spans="1:14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</row>
    <row r="2489" spans="1:14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</row>
    <row r="2490" spans="1:14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</row>
    <row r="2491" spans="1:14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</row>
    <row r="2492" spans="1:14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</row>
    <row r="2493" spans="1:14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</row>
    <row r="2494" spans="1:14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</row>
    <row r="2495" spans="1:14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</row>
    <row r="2496" spans="1:14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</row>
    <row r="2497" spans="1:14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</row>
    <row r="2498" spans="1:14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</row>
    <row r="2499" spans="1:14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</row>
    <row r="2500" spans="1:14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</row>
    <row r="2501" spans="1:14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</row>
    <row r="2502" spans="1:14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</row>
    <row r="2503" spans="1:14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</row>
    <row r="2504" spans="1:14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</row>
    <row r="2505" spans="1:14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</row>
    <row r="2506" spans="1:14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</row>
    <row r="2507" spans="1:14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</row>
    <row r="2508" spans="1:14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</row>
    <row r="2509" spans="1:14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</row>
    <row r="2510" spans="1:14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</row>
    <row r="2511" spans="1:14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</row>
    <row r="2512" spans="1:14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</row>
    <row r="2513" spans="1:14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</row>
    <row r="2514" spans="1:14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</row>
    <row r="2515" spans="1:14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</row>
    <row r="2516" spans="1:14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</row>
    <row r="2517" spans="1:14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</row>
    <row r="2518" spans="1:14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</row>
    <row r="2519" spans="1:14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</row>
    <row r="2520" spans="1:14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</row>
    <row r="2521" spans="1:14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</row>
    <row r="2522" spans="1:14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</row>
    <row r="2523" spans="1:14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</row>
    <row r="2524" spans="1:14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</row>
    <row r="2525" spans="1:14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</row>
    <row r="2526" spans="1:14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</row>
    <row r="2527" spans="1:14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</row>
    <row r="2528" spans="1:14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</row>
    <row r="2529" spans="1:14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</row>
    <row r="2530" spans="1:14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</row>
    <row r="2531" spans="1:14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</row>
    <row r="2532" spans="1:14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</row>
    <row r="2533" spans="1:14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</row>
    <row r="2534" spans="1:14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</row>
    <row r="2535" spans="1:14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</row>
    <row r="2536" spans="1:14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</row>
    <row r="2537" spans="1:14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</row>
    <row r="2538" spans="1:14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</row>
    <row r="2539" spans="1:14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</row>
    <row r="2540" spans="1:14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</row>
    <row r="2541" spans="1:14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</row>
    <row r="2542" spans="1:14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</row>
    <row r="2543" spans="1:14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</row>
    <row r="2544" spans="1:14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</row>
    <row r="2545" spans="1:14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</row>
    <row r="2546" spans="1:14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</row>
    <row r="2547" spans="1:14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</row>
    <row r="2548" spans="1:14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</row>
    <row r="2549" spans="1:14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</row>
    <row r="2550" spans="1:14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</row>
    <row r="2551" spans="1:14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</row>
    <row r="2552" spans="1:14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</row>
    <row r="2553" spans="1:14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</row>
    <row r="2554" spans="1:14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</row>
    <row r="2555" spans="1:14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</row>
    <row r="2556" spans="1:14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</row>
    <row r="2557" spans="1:14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</row>
    <row r="2558" spans="1:14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</row>
    <row r="2559" spans="1:14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</row>
    <row r="2560" spans="1:14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</row>
    <row r="2561" spans="1:14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</row>
    <row r="2562" spans="1:14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</row>
    <row r="2563" spans="1:14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</row>
    <row r="2564" spans="1:14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</row>
    <row r="2565" spans="1:14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</row>
    <row r="2566" spans="1:14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</row>
    <row r="2567" spans="1:14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</row>
    <row r="2568" spans="1:14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</row>
    <row r="2569" spans="1:14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</row>
    <row r="2570" spans="1:14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</row>
    <row r="2571" spans="1:14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</row>
    <row r="2572" spans="1:14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</row>
    <row r="2573" spans="1:14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</row>
    <row r="2574" spans="1:14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</row>
    <row r="2575" spans="1:14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</row>
    <row r="2576" spans="1:14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</row>
    <row r="2577" spans="1:14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</row>
    <row r="2578" spans="1:14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</row>
    <row r="2579" spans="1:14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</row>
    <row r="2580" spans="1:14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</row>
    <row r="2581" spans="1:14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</row>
    <row r="2582" spans="1:14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</row>
    <row r="2583" spans="1:14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</row>
    <row r="2584" spans="1:14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</row>
    <row r="2585" spans="1:14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</row>
    <row r="2586" spans="1:14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</row>
    <row r="2587" spans="1:14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</row>
    <row r="2588" spans="1:14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</row>
    <row r="2589" spans="1:14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</row>
    <row r="2590" spans="1:14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</row>
    <row r="2591" spans="1:14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</row>
    <row r="2592" spans="1:14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</row>
    <row r="2593" spans="1:14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</row>
    <row r="2594" spans="1:14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</row>
    <row r="2595" spans="1:14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</row>
    <row r="2596" spans="1:14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</row>
    <row r="2597" spans="1:14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</row>
    <row r="2598" spans="1:14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</row>
    <row r="2599" spans="1:14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</row>
    <row r="2600" spans="1:14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</row>
    <row r="2601" spans="1:14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</row>
    <row r="2602" spans="1:14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</row>
    <row r="2603" spans="1:14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</row>
    <row r="2604" spans="1:14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</row>
    <row r="2605" spans="1:14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</row>
    <row r="2606" spans="1:14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</row>
    <row r="2607" spans="1:14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</row>
    <row r="2608" spans="1:14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</row>
    <row r="2609" spans="1:14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</row>
    <row r="2610" spans="1:14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</row>
    <row r="2611" spans="1:14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</row>
    <row r="2612" spans="1:14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</row>
    <row r="2613" spans="1:14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</row>
    <row r="2614" spans="1:14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</row>
    <row r="2615" spans="1:14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</row>
    <row r="2616" spans="1:14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</row>
    <row r="2617" spans="1:14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</row>
    <row r="2618" spans="1:14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</row>
    <row r="2619" spans="1:14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</row>
    <row r="2620" spans="1:14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</row>
    <row r="2621" spans="1:14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</row>
    <row r="2622" spans="1:14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</row>
    <row r="2623" spans="1:14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</row>
    <row r="2624" spans="1:14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</row>
    <row r="2625" spans="1:14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</row>
    <row r="2626" spans="1:14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</row>
    <row r="2627" spans="1:14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</row>
    <row r="2628" spans="1:14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</row>
    <row r="2629" spans="1:14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</row>
    <row r="2630" spans="1:14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</row>
    <row r="2631" spans="1:14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</row>
    <row r="2632" spans="1:14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</row>
    <row r="2633" spans="1:14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</row>
    <row r="2634" spans="1:14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</row>
    <row r="2635" spans="1:14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</row>
    <row r="2636" spans="1:14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</row>
    <row r="2637" spans="1:14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</row>
    <row r="2638" spans="1:14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</row>
    <row r="2639" spans="1:14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</row>
    <row r="2640" spans="1:14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</row>
    <row r="2641" spans="1:14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</row>
    <row r="2642" spans="1:14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</row>
    <row r="2643" spans="1:14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</row>
    <row r="2644" spans="1:14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</row>
    <row r="2645" spans="1:14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</row>
    <row r="2646" spans="1:14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</row>
    <row r="2647" spans="1:14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</row>
    <row r="2648" spans="1:14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</row>
    <row r="2649" spans="1:14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</row>
    <row r="2650" spans="1:14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</row>
    <row r="2651" spans="1:14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</row>
    <row r="2652" spans="1:14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</row>
    <row r="2653" spans="1:14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</row>
    <row r="2654" spans="1:14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</row>
    <row r="2655" spans="1:14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</row>
    <row r="2656" spans="1:14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</row>
    <row r="2657" spans="1:14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</row>
    <row r="2658" spans="1:14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</row>
    <row r="2659" spans="1:14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</row>
    <row r="2660" spans="1:14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</row>
    <row r="2661" spans="1:14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</row>
    <row r="2662" spans="1:14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</row>
    <row r="2663" spans="1:14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</row>
    <row r="2664" spans="1:14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</row>
    <row r="2665" spans="1:14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</row>
    <row r="2666" spans="1:14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</row>
    <row r="2667" spans="1:14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</row>
    <row r="2668" spans="1:14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</row>
    <row r="2669" spans="1:14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</row>
    <row r="2670" spans="1:14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</row>
    <row r="2671" spans="1:14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</row>
    <row r="2672" spans="1:14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</row>
    <row r="2673" spans="1:14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</row>
    <row r="2674" spans="1:14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</row>
    <row r="2675" spans="1:14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</row>
    <row r="2676" spans="1:14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</row>
    <row r="2677" spans="1:14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</row>
    <row r="2678" spans="1:14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</row>
    <row r="2679" spans="1:14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</row>
    <row r="2680" spans="1:14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</row>
    <row r="2681" spans="1:14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</row>
    <row r="2682" spans="1:14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</row>
    <row r="2683" spans="1:14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</row>
    <row r="2684" spans="1:14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</row>
    <row r="2685" spans="1:14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</row>
    <row r="2686" spans="1:14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</row>
    <row r="2687" spans="1:14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</row>
    <row r="2688" spans="1:14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</row>
    <row r="2689" spans="1:14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</row>
    <row r="2690" spans="1:14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</row>
    <row r="2691" spans="1:14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</row>
    <row r="2692" spans="1:14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</row>
    <row r="2693" spans="1:14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</row>
    <row r="2694" spans="1:14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</row>
    <row r="2695" spans="1:14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</row>
    <row r="2696" spans="1:14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</row>
    <row r="2697" spans="1:14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</row>
    <row r="2698" spans="1:14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</row>
    <row r="2699" spans="1:14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</row>
    <row r="2700" spans="1:14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</row>
    <row r="2701" spans="1:14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</row>
    <row r="2702" spans="1:14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</row>
    <row r="2703" spans="1:14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</row>
    <row r="2704" spans="1:14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</row>
    <row r="2705" spans="1:14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</row>
    <row r="2706" spans="1:14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</row>
    <row r="2707" spans="1:14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</row>
    <row r="2708" spans="1:14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</row>
    <row r="2709" spans="1:14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</row>
    <row r="2710" spans="1:14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</row>
    <row r="2711" spans="1:14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</row>
    <row r="2712" spans="1:14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</row>
    <row r="2713" spans="1:14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</row>
    <row r="2714" spans="1:14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</row>
    <row r="2715" spans="1:14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</row>
    <row r="2716" spans="1:14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</row>
    <row r="2717" spans="1:14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</row>
    <row r="2718" spans="1:14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</row>
    <row r="2719" spans="1:14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</row>
    <row r="2720" spans="1:14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</row>
    <row r="2721" spans="1:14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</row>
    <row r="2722" spans="1:14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</row>
    <row r="2723" spans="1:14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</row>
    <row r="2724" spans="1:14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</row>
    <row r="2725" spans="1:14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</row>
    <row r="2726" spans="1:14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</row>
    <row r="2727" spans="1:14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</row>
    <row r="2728" spans="1:14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</row>
    <row r="2729" spans="1:14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</row>
    <row r="2730" spans="1:14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</row>
    <row r="2731" spans="1:14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</row>
    <row r="2732" spans="1:14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</row>
    <row r="2733" spans="1:14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</row>
    <row r="2734" spans="1:14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</row>
    <row r="2735" spans="1:14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</row>
    <row r="2736" spans="1:14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</row>
    <row r="2737" spans="1:14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</row>
    <row r="2738" spans="1:14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</row>
    <row r="2739" spans="1:14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</row>
    <row r="2740" spans="1:14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</row>
    <row r="2741" spans="1:14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</row>
    <row r="2742" spans="1:14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</row>
    <row r="2743" spans="1:14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</row>
    <row r="2744" spans="1:14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</row>
    <row r="2745" spans="1:14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</row>
    <row r="2746" spans="1:14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</row>
    <row r="2747" spans="1:14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</row>
    <row r="2748" spans="1:14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</row>
    <row r="2749" spans="1:14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</row>
    <row r="2750" spans="1:14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</row>
    <row r="2751" spans="1:14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</row>
    <row r="2752" spans="1:14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</row>
    <row r="2753" spans="1:14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</row>
    <row r="2754" spans="1:14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</row>
    <row r="2755" spans="1:14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</row>
    <row r="2756" spans="1:14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</row>
    <row r="2757" spans="1:14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</row>
    <row r="2758" spans="1:14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</row>
    <row r="2759" spans="1:14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</row>
    <row r="2760" spans="1:14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</row>
    <row r="2761" spans="1:14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</row>
    <row r="2762" spans="1:14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</row>
    <row r="2763" spans="1:14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</row>
    <row r="2764" spans="1:14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</row>
    <row r="2765" spans="1:14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</row>
    <row r="2766" spans="1:14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</row>
    <row r="2767" spans="1:14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</row>
    <row r="2768" spans="1:14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</row>
    <row r="2769" spans="1:14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</row>
    <row r="2770" spans="1:14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</row>
    <row r="2771" spans="1:14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</row>
    <row r="2772" spans="1:14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</row>
    <row r="2773" spans="1:14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</row>
    <row r="2774" spans="1:14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</row>
    <row r="2775" spans="1:14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</row>
    <row r="2776" spans="1:14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</row>
    <row r="2777" spans="1:14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</row>
    <row r="2778" spans="1:14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</row>
    <row r="2779" spans="1:14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</row>
    <row r="2780" spans="1:14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</row>
    <row r="2781" spans="1:14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</row>
    <row r="2782" spans="1:14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</row>
    <row r="2783" spans="1:14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</row>
    <row r="2784" spans="1:14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</row>
    <row r="2785" spans="1:14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</row>
    <row r="2786" spans="1:14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</row>
    <row r="2787" spans="1:14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</row>
    <row r="2788" spans="1:14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</row>
    <row r="2789" spans="1:14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</row>
    <row r="2790" spans="1:14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</row>
    <row r="2791" spans="1:14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</row>
    <row r="2792" spans="1:14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</row>
    <row r="2793" spans="1:14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</row>
    <row r="2794" spans="1:14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</row>
    <row r="2795" spans="1:14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</row>
    <row r="2796" spans="1:14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</row>
    <row r="2797" spans="1:14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</row>
    <row r="2798" spans="1:14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</row>
    <row r="2799" spans="1:14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</row>
    <row r="2800" spans="1:14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</row>
    <row r="2801" spans="1:14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</row>
    <row r="2802" spans="1:14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</row>
    <row r="2803" spans="1:14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</row>
    <row r="2804" spans="1:14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</row>
    <row r="2805" spans="1:14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</row>
    <row r="2806" spans="1:14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</row>
    <row r="2807" spans="1:14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</row>
    <row r="2808" spans="1:14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</row>
    <row r="2809" spans="1:14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</row>
    <row r="2810" spans="1:14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</row>
    <row r="2811" spans="1:14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</row>
    <row r="2812" spans="1:14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</row>
    <row r="2813" spans="1:14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</row>
    <row r="2814" spans="1:14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</row>
    <row r="2815" spans="1:14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</row>
    <row r="2816" spans="1:14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</row>
    <row r="2817" spans="1:14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</row>
    <row r="2818" spans="1:14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</row>
    <row r="2819" spans="1:14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</row>
    <row r="2820" spans="1:14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</row>
    <row r="2821" spans="1:14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</row>
    <row r="2822" spans="1:14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</row>
    <row r="2823" spans="1:14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</row>
    <row r="2824" spans="1:14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</row>
    <row r="2825" spans="1:14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</row>
    <row r="2826" spans="1:14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</row>
    <row r="2827" spans="1:14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</row>
    <row r="2828" spans="1:14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</row>
    <row r="2829" spans="1:14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</row>
    <row r="2830" spans="1:14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</row>
    <row r="2831" spans="1:14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</row>
    <row r="2832" spans="1:14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</row>
    <row r="2833" spans="1:14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</row>
    <row r="2834" spans="1:14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</row>
    <row r="2835" spans="1:14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</row>
    <row r="2836" spans="1:14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</row>
    <row r="2837" spans="1:14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</row>
    <row r="2838" spans="1:14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</row>
    <row r="2839" spans="1:14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</row>
    <row r="2840" spans="1:14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</row>
    <row r="2841" spans="1:14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</row>
    <row r="2842" spans="1:14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</row>
    <row r="2843" spans="1:14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</row>
    <row r="2844" spans="1:14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</row>
    <row r="2845" spans="1:14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</row>
    <row r="2846" spans="1:14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</row>
    <row r="2847" spans="1:14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</row>
    <row r="2848" spans="1:14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</row>
    <row r="2849" spans="1:14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</row>
    <row r="2850" spans="1:14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</row>
    <row r="2851" spans="1:14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</row>
    <row r="2852" spans="1:14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</row>
    <row r="2853" spans="1:14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</row>
    <row r="2854" spans="1:14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</row>
    <row r="2855" spans="1:14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</row>
    <row r="2856" spans="1:14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</row>
    <row r="2857" spans="1:14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</row>
    <row r="2858" spans="1:14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</row>
    <row r="2859" spans="1:14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</row>
    <row r="2860" spans="1:14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</row>
    <row r="2861" spans="1:14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</row>
    <row r="2862" spans="1:14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</row>
    <row r="2863" spans="1:14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</row>
    <row r="2864" spans="1:14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</row>
    <row r="2865" spans="1:14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</row>
    <row r="2866" spans="1:14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</row>
    <row r="2867" spans="1:14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</row>
    <row r="2868" spans="1:14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</row>
    <row r="2869" spans="1:14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</row>
    <row r="2870" spans="1:14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</row>
    <row r="2871" spans="1:14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</row>
    <row r="2872" spans="1:14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</row>
    <row r="2873" spans="1:14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</row>
    <row r="2874" spans="1:14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</row>
    <row r="2875" spans="1:14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</row>
    <row r="2876" spans="1:14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</row>
    <row r="2877" spans="1:14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</row>
    <row r="2878" spans="1:14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</row>
    <row r="2879" spans="1:14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</row>
    <row r="2880" spans="1:14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</row>
    <row r="2881" spans="1:14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</row>
    <row r="2882" spans="1:14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</row>
    <row r="2883" spans="1:14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</row>
    <row r="2884" spans="1:14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</row>
    <row r="2885" spans="1:14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</row>
    <row r="2886" spans="1:14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</row>
    <row r="2887" spans="1:14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</row>
    <row r="2888" spans="1:14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</row>
    <row r="2889" spans="1:14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</row>
    <row r="2890" spans="1:14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</row>
    <row r="2891" spans="1:14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</row>
    <row r="2892" spans="1:14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</row>
    <row r="2893" spans="1:14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</row>
    <row r="2894" spans="1:14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</row>
    <row r="2895" spans="1:14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</row>
    <row r="2896" spans="1:14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</row>
    <row r="2897" spans="1:14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</row>
    <row r="2898" spans="1:14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</row>
    <row r="2899" spans="1:14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</row>
    <row r="2900" spans="1:14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</row>
    <row r="2901" spans="1:14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</row>
    <row r="2902" spans="1:14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</row>
    <row r="2903" spans="1:14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</row>
    <row r="2904" spans="1:14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</row>
    <row r="2905" spans="1:14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</row>
    <row r="2906" spans="1:14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</row>
    <row r="2907" spans="1:14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</row>
    <row r="2908" spans="1:14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</row>
    <row r="2909" spans="1:14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</row>
    <row r="2910" spans="1:14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</row>
    <row r="2911" spans="1:14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</row>
    <row r="2912" spans="1:14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</row>
    <row r="2913" spans="1:14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</row>
    <row r="2914" spans="1:14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</row>
    <row r="2915" spans="1:14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</row>
    <row r="2916" spans="1:14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</row>
    <row r="2917" spans="1:14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</row>
    <row r="2918" spans="1:14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</row>
    <row r="2919" spans="1:14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</row>
    <row r="2920" spans="1:14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</row>
    <row r="2921" spans="1:14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</row>
    <row r="2922" spans="1:14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</row>
    <row r="2923" spans="1:14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</row>
    <row r="2924" spans="1:14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</row>
    <row r="2925" spans="1:14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</row>
    <row r="2926" spans="1:14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</row>
    <row r="2927" spans="1:14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</row>
    <row r="2928" spans="1:14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</row>
    <row r="2929" spans="1:14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</row>
    <row r="2930" spans="1:14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</row>
    <row r="2931" spans="1:14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</row>
    <row r="2932" spans="1:14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</row>
    <row r="2933" spans="1:14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</row>
    <row r="2934" spans="1:14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</row>
    <row r="2935" spans="1:14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</row>
    <row r="2936" spans="1:14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</row>
    <row r="2937" spans="1:14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</row>
    <row r="2938" spans="1:14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</row>
    <row r="2939" spans="1:14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</row>
    <row r="2940" spans="1:14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</row>
    <row r="2941" spans="1:14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</row>
    <row r="2942" spans="1:14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</row>
    <row r="2943" spans="1:14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</row>
    <row r="2944" spans="1:14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</row>
    <row r="2945" spans="1:14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</row>
    <row r="2946" spans="1:14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</row>
    <row r="2947" spans="1:14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</row>
    <row r="2948" spans="1:14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</row>
    <row r="2949" spans="1:14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</row>
    <row r="2950" spans="1:14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</row>
    <row r="2951" spans="1:14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</row>
    <row r="2952" spans="1:14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</row>
    <row r="2953" spans="1:14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</row>
    <row r="2954" spans="1:14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</row>
    <row r="2955" spans="1:14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</row>
    <row r="2956" spans="1:14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</row>
    <row r="2957" spans="1:14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</row>
    <row r="2958" spans="1:14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</row>
    <row r="2959" spans="1:14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</row>
    <row r="2960" spans="1:14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</row>
    <row r="2961" spans="1:14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</row>
    <row r="2962" spans="1:14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</row>
    <row r="2963" spans="1:14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</row>
    <row r="2964" spans="1:14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</row>
    <row r="2965" spans="1:14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</row>
    <row r="2966" spans="1:14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</row>
    <row r="2967" spans="1:14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</row>
    <row r="2968" spans="1:14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</row>
    <row r="2969" spans="1:14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</row>
    <row r="2970" spans="1:14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</row>
    <row r="2971" spans="1:14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</row>
    <row r="2972" spans="1:14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</row>
    <row r="2973" spans="1:14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</row>
    <row r="2974" spans="1:14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</row>
    <row r="2975" spans="1:14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</row>
    <row r="2976" spans="1:14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</row>
    <row r="2977" spans="1:14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</row>
    <row r="2978" spans="1:14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</row>
    <row r="2979" spans="1:14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</row>
    <row r="2980" spans="1:14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</row>
    <row r="2981" spans="1:14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</row>
    <row r="2982" spans="1:14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</row>
    <row r="2983" spans="1:14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</row>
    <row r="2984" spans="1:14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</row>
    <row r="2985" spans="1:14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</row>
    <row r="2986" spans="1:14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</row>
    <row r="2987" spans="1:14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</row>
    <row r="2988" spans="1:14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</row>
    <row r="2989" spans="1:14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</row>
    <row r="2990" spans="1:14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</row>
    <row r="2991" spans="1:14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</row>
    <row r="2992" spans="1:14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</row>
    <row r="2993" spans="1:14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</row>
    <row r="2994" spans="1:14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</row>
    <row r="2995" spans="1:14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</row>
    <row r="2996" spans="1:14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</row>
    <row r="2997" spans="1:14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</row>
    <row r="2998" spans="1:14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</row>
    <row r="2999" spans="1:14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</row>
    <row r="3000" spans="1:14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</row>
    <row r="3001" spans="1:14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</row>
    <row r="3002" spans="1:14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</row>
    <row r="3003" spans="1:14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</row>
    <row r="3004" spans="1:14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</row>
    <row r="3005" spans="1:14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</row>
    <row r="3006" spans="1:14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</row>
    <row r="3007" spans="1:14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</row>
    <row r="3008" spans="1:14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</row>
    <row r="3009" spans="1:14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</row>
    <row r="3010" spans="1:14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</row>
    <row r="3011" spans="1:14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</row>
    <row r="3012" spans="1:14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</row>
    <row r="3013" spans="1:14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</row>
    <row r="3014" spans="1:14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</row>
    <row r="3015" spans="1:14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</row>
    <row r="3016" spans="1:14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</row>
    <row r="3017" spans="1:14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</row>
    <row r="3018" spans="1:14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</row>
    <row r="3019" spans="1:14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</row>
    <row r="3020" spans="1:14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</row>
    <row r="3021" spans="1:14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</row>
    <row r="3022" spans="1:14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</row>
    <row r="3023" spans="1:14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</row>
    <row r="3024" spans="1:14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</row>
    <row r="3025" spans="1:14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</row>
    <row r="3026" spans="1:14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</row>
    <row r="3027" spans="1:14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</row>
    <row r="3028" spans="1:14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</row>
    <row r="3029" spans="1:14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</row>
    <row r="3030" spans="1:14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</row>
    <row r="3031" spans="1:14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</row>
    <row r="3032" spans="1:14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</row>
    <row r="3033" spans="1:14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</row>
    <row r="3034" spans="1:14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</row>
    <row r="3035" spans="1:14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</row>
    <row r="3036" spans="1:14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</row>
    <row r="3037" spans="1:14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</row>
    <row r="3038" spans="1:14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</row>
    <row r="3039" spans="1:14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</row>
    <row r="3040" spans="1:14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</row>
    <row r="3041" spans="1:14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</row>
    <row r="3042" spans="1:14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</row>
    <row r="3043" spans="1:14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</row>
    <row r="3044" spans="1:14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</row>
    <row r="3045" spans="1:14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</row>
    <row r="3046" spans="1:14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</row>
    <row r="3047" spans="1:14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</row>
    <row r="3048" spans="1:14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</row>
    <row r="3049" spans="1:14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</row>
    <row r="3050" spans="1:14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</row>
    <row r="3051" spans="1:14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</row>
    <row r="3052" spans="1:14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</row>
    <row r="3053" spans="1:14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</row>
    <row r="3054" spans="1:14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</row>
    <row r="3055" spans="1:14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</row>
    <row r="3056" spans="1:14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</row>
    <row r="3057" spans="1:14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</row>
    <row r="3058" spans="1:14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</row>
    <row r="3059" spans="1:14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</row>
    <row r="3060" spans="1:14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</row>
    <row r="3061" spans="1:14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</row>
    <row r="3062" spans="1:14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</row>
    <row r="3063" spans="1:14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</row>
    <row r="3064" spans="1:14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</row>
    <row r="3065" spans="1:14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</row>
    <row r="3066" spans="1:14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</row>
    <row r="3067" spans="1:14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</row>
    <row r="3068" spans="1:14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</row>
    <row r="3069" spans="1:14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</row>
    <row r="3070" spans="1:14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</row>
    <row r="3071" spans="1:14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</row>
    <row r="3072" spans="1:14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</row>
    <row r="3073" spans="1:14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</row>
    <row r="3074" spans="1:14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</row>
    <row r="3075" spans="1:14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</row>
    <row r="3076" spans="1:14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</row>
    <row r="3077" spans="1:14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</row>
    <row r="3078" spans="1:14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</row>
    <row r="3079" spans="1:14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</row>
    <row r="3080" spans="1:14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</row>
    <row r="3081" spans="1:14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</row>
    <row r="3082" spans="1:14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</row>
    <row r="3083" spans="1:14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</row>
    <row r="3084" spans="1:14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</row>
    <row r="3085" spans="1:14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</row>
    <row r="3086" spans="1:14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</row>
    <row r="3087" spans="1:14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</row>
    <row r="3088" spans="1:14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</row>
    <row r="3089" spans="1:14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</row>
    <row r="3090" spans="1:14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</row>
    <row r="3091" spans="1:14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</row>
    <row r="3092" spans="1:14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</row>
    <row r="3093" spans="1:14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</row>
    <row r="3094" spans="1:14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</row>
    <row r="3095" spans="1:14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</row>
    <row r="3096" spans="1:14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</row>
    <row r="3097" spans="1:14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</row>
    <row r="3098" spans="1:14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</row>
    <row r="3099" spans="1:14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</row>
    <row r="3100" spans="1:14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</row>
    <row r="3101" spans="1:14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</row>
    <row r="3102" spans="1:14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</row>
    <row r="3103" spans="1:14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</row>
    <row r="3104" spans="1:14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</row>
    <row r="3105" spans="1:14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</row>
    <row r="3106" spans="1:14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</row>
    <row r="3107" spans="1:14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</row>
    <row r="3108" spans="1:14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</row>
    <row r="3109" spans="1:14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</row>
    <row r="3110" spans="1:14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</row>
    <row r="3111" spans="1:14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</row>
    <row r="3112" spans="1:14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</row>
    <row r="3113" spans="1:14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</row>
    <row r="3114" spans="1:14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</row>
    <row r="3115" spans="1:14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</row>
    <row r="3116" spans="1:14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</row>
    <row r="3117" spans="1:14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</row>
    <row r="3118" spans="1:14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</row>
    <row r="3119" spans="1:14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</row>
    <row r="3120" spans="1:14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</row>
    <row r="3121" spans="1:14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</row>
    <row r="3122" spans="1:14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</row>
    <row r="3123" spans="1:14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</row>
    <row r="3124" spans="1:14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</row>
    <row r="3125" spans="1:14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</row>
    <row r="3126" spans="1:14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</row>
    <row r="3127" spans="1:14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</row>
    <row r="3128" spans="1:14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</row>
    <row r="3129" spans="1:14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</row>
    <row r="3130" spans="1:14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</row>
    <row r="3131" spans="1:14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</row>
    <row r="3132" spans="1:14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</row>
    <row r="3133" spans="1:14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</row>
    <row r="3134" spans="1:14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</row>
    <row r="3135" spans="1:14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</row>
    <row r="3136" spans="1:14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</row>
    <row r="3137" spans="1:14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</row>
    <row r="3138" spans="1:14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</row>
    <row r="3139" spans="1:14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</row>
    <row r="3140" spans="1:14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</row>
    <row r="3141" spans="1:14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</row>
    <row r="3142" spans="1:14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</row>
    <row r="3143" spans="1:14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</row>
    <row r="3144" spans="1:14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</row>
    <row r="3145" spans="1:14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</row>
    <row r="3146" spans="1:14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</row>
    <row r="3147" spans="1:14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</row>
    <row r="3148" spans="1:14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</row>
    <row r="3149" spans="1:14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</row>
    <row r="3150" spans="1:14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</row>
    <row r="3151" spans="1:14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</row>
    <row r="3152" spans="1:14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</row>
    <row r="3153" spans="1:14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</row>
    <row r="3154" spans="1:14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</row>
    <row r="3155" spans="1:14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</row>
    <row r="3156" spans="1:14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</row>
    <row r="3157" spans="1:14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</row>
    <row r="3158" spans="1:14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</row>
    <row r="3159" spans="1:14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</row>
    <row r="3160" spans="1:14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</row>
    <row r="3161" spans="1:14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</row>
    <row r="3162" spans="1:14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</row>
    <row r="3163" spans="1:14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</row>
    <row r="3164" spans="1:14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</row>
    <row r="3165" spans="1:14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</row>
    <row r="3166" spans="1:14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</row>
    <row r="3167" spans="1:14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</row>
    <row r="3168" spans="1:14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</row>
    <row r="3169" spans="1:14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</row>
    <row r="3170" spans="1:14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</row>
    <row r="3171" spans="1:14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</row>
    <row r="3172" spans="1:14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</row>
    <row r="3173" spans="1:14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</row>
    <row r="3174" spans="1:14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</row>
    <row r="3175" spans="1:14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</row>
    <row r="3176" spans="1:14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</row>
    <row r="3177" spans="1:14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</row>
    <row r="3178" spans="1:14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</row>
    <row r="3179" spans="1:14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</row>
    <row r="3180" spans="1:14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</row>
    <row r="3181" spans="1:14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</row>
    <row r="3182" spans="1:14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</row>
    <row r="3183" spans="1:14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</row>
    <row r="3184" spans="1:14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</row>
    <row r="3185" spans="1:14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</row>
    <row r="3186" spans="1:14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</row>
    <row r="3187" spans="1:14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</row>
    <row r="3188" spans="1:14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</row>
    <row r="3189" spans="1:14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</row>
    <row r="3190" spans="1:14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</row>
    <row r="3191" spans="1:14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</row>
    <row r="3192" spans="1:14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</row>
    <row r="3193" spans="1:14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</row>
    <row r="3194" spans="1:14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</row>
    <row r="3195" spans="1:14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</row>
    <row r="3196" spans="1:14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</row>
    <row r="3197" spans="1:14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</row>
    <row r="3198" spans="1:14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</row>
    <row r="3199" spans="1:14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</row>
    <row r="3200" spans="1:14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</row>
    <row r="3201" spans="1:14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</row>
    <row r="3202" spans="1:14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</row>
    <row r="3203" spans="1:14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</row>
    <row r="3204" spans="1:14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</row>
    <row r="3205" spans="1:14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</row>
    <row r="3206" spans="1:14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</row>
    <row r="3207" spans="1:14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</row>
    <row r="3208" spans="1:14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</row>
    <row r="3209" spans="1:14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</row>
    <row r="3210" spans="1:14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</row>
    <row r="3211" spans="1:14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</row>
    <row r="3212" spans="1:14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</row>
    <row r="3213" spans="1:14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</row>
    <row r="3214" spans="1:14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</row>
    <row r="3215" spans="1:14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</row>
    <row r="3216" spans="1:14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</row>
    <row r="3217" spans="1:14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</row>
    <row r="3218" spans="1:14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</row>
    <row r="3219" spans="1:14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</row>
    <row r="3220" spans="1:14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</row>
    <row r="3221" spans="1:14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</row>
    <row r="3222" spans="1:14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</row>
    <row r="3223" spans="1:14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</row>
    <row r="3224" spans="1:14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</row>
    <row r="3225" spans="1:14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</row>
    <row r="3226" spans="1:14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</row>
    <row r="3227" spans="1:14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</row>
    <row r="3228" spans="1:14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</row>
    <row r="3229" spans="1:14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</row>
    <row r="3230" spans="1:14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</row>
    <row r="3231" spans="1:14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</row>
    <row r="3232" spans="1:14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</row>
    <row r="3233" spans="1:14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</row>
    <row r="3234" spans="1:14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</row>
    <row r="3235" spans="1:14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</row>
    <row r="3236" spans="1:14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</row>
    <row r="3237" spans="1:14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</row>
    <row r="3238" spans="1:14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</row>
    <row r="3239" spans="1:14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</row>
    <row r="3240" spans="1:14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</row>
    <row r="3241" spans="1:14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</row>
    <row r="3242" spans="1:14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</row>
    <row r="3243" spans="1:14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</row>
    <row r="3244" spans="1:14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</row>
    <row r="3245" spans="1:14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</row>
    <row r="3246" spans="1:14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</row>
    <row r="3247" spans="1:14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</row>
    <row r="3248" spans="1:14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</row>
    <row r="3249" spans="1:14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</row>
    <row r="3250" spans="1:14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</row>
    <row r="3251" spans="1:14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</row>
    <row r="3252" spans="1:14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</row>
    <row r="3253" spans="1:14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</row>
    <row r="3254" spans="1:14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</row>
    <row r="3255" spans="1:14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</row>
    <row r="3256" spans="1:14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</row>
    <row r="3257" spans="1:14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</row>
    <row r="3258" spans="1:14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</row>
    <row r="3259" spans="1:14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</row>
    <row r="3260" spans="1:14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</row>
    <row r="3261" spans="1:14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</row>
    <row r="3262" spans="1:14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</row>
    <row r="3263" spans="1:14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</row>
    <row r="3264" spans="1:14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</row>
    <row r="3265" spans="1:14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</row>
    <row r="3266" spans="1:14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</row>
    <row r="3267" spans="1:14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</row>
    <row r="3268" spans="1:14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</row>
    <row r="3269" spans="1:14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</row>
    <row r="3270" spans="1:14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</row>
    <row r="3271" spans="1:14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</row>
    <row r="3272" spans="1:14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</row>
    <row r="3273" spans="1:14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</row>
    <row r="3274" spans="1:14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</row>
    <row r="3275" spans="1:14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</row>
    <row r="3276" spans="1:14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</row>
    <row r="3277" spans="1:14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</row>
    <row r="3278" spans="1:14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</row>
    <row r="3279" spans="1:14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</row>
    <row r="3280" spans="1:14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</row>
    <row r="3281" spans="1:14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</row>
    <row r="3282" spans="1:14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</row>
    <row r="3283" spans="1:14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</row>
    <row r="3284" spans="1:14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</row>
    <row r="3285" spans="1:14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</row>
    <row r="3286" spans="1:14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</row>
    <row r="3287" spans="1:14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</row>
    <row r="3288" spans="1:14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</row>
    <row r="3289" spans="1:14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</row>
    <row r="3290" spans="1:14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</row>
    <row r="3291" spans="1:14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</row>
    <row r="3292" spans="1:14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</row>
    <row r="3293" spans="1:14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</row>
    <row r="3294" spans="1:14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</row>
    <row r="3295" spans="1:14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</row>
    <row r="3296" spans="1:14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</row>
    <row r="3297" spans="1:14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</row>
    <row r="3298" spans="1:14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</row>
    <row r="3299" spans="1:14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</row>
    <row r="3300" spans="1:14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</row>
    <row r="3301" spans="1:14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</row>
    <row r="3302" spans="1:14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</row>
    <row r="3303" spans="1:14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</row>
    <row r="3304" spans="1:14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</row>
    <row r="3305" spans="1:14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</row>
    <row r="3306" spans="1:14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</row>
    <row r="3307" spans="1:14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</row>
    <row r="3308" spans="1:14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</row>
    <row r="3309" spans="1:14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</row>
    <row r="3310" spans="1:14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</row>
    <row r="3311" spans="1:14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</row>
    <row r="3312" spans="1:14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</row>
    <row r="3313" spans="1:14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</row>
    <row r="3314" spans="1:14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</row>
    <row r="3315" spans="1:14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</row>
    <row r="3316" spans="1:14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</row>
    <row r="3317" spans="1:14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</row>
    <row r="3318" spans="1:14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</row>
    <row r="3319" spans="1:14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</row>
    <row r="3320" spans="1:14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</row>
    <row r="3321" spans="1:14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</row>
    <row r="3322" spans="1:14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</row>
    <row r="3323" spans="1:14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</row>
    <row r="3324" spans="1:14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</row>
    <row r="3325" spans="1:14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</row>
    <row r="3326" spans="1:14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</row>
    <row r="3327" spans="1:14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</row>
    <row r="3328" spans="1:14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</row>
    <row r="3329" spans="1:14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</row>
    <row r="3330" spans="1:14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</row>
    <row r="3331" spans="1:14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</row>
    <row r="3332" spans="1:14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</row>
    <row r="3333" spans="1:14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</row>
    <row r="3334" spans="1:14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</row>
    <row r="3335" spans="1:14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</row>
    <row r="3336" spans="1:14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</row>
    <row r="3337" spans="1:14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</row>
    <row r="3338" spans="1:14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</row>
    <row r="3339" spans="1:14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</row>
    <row r="3340" spans="1:14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</row>
    <row r="3341" spans="1:14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</row>
    <row r="3342" spans="1:14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</row>
    <row r="3343" spans="1:14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</row>
    <row r="3344" spans="1:14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</row>
    <row r="3345" spans="1:14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</row>
    <row r="3346" spans="1:14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</row>
    <row r="3347" spans="1:14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</row>
    <row r="3348" spans="1:14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</row>
    <row r="3349" spans="1:14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</row>
    <row r="3350" spans="1:14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</row>
    <row r="3351" spans="1:14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</row>
    <row r="3352" spans="1:14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</row>
    <row r="3353" spans="1:14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</row>
    <row r="3354" spans="1:14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</row>
    <row r="3355" spans="1:14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</row>
    <row r="3356" spans="1:14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</row>
    <row r="3357" spans="1:14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</row>
    <row r="3358" spans="1:14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</row>
    <row r="3359" spans="1:14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</row>
    <row r="3360" spans="1:14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</row>
    <row r="3361" spans="1:14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</row>
    <row r="3362" spans="1:14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</row>
    <row r="3363" spans="1:14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</row>
    <row r="3364" spans="1:14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</row>
    <row r="3365" spans="1:14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</row>
    <row r="3366" spans="1:14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</row>
    <row r="3367" spans="1:14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</row>
    <row r="3368" spans="1:14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</row>
    <row r="3369" spans="1:14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</row>
    <row r="3370" spans="1:14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</row>
    <row r="3371" spans="1:14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</row>
    <row r="3372" spans="1:14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</row>
    <row r="3373" spans="1:14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</row>
    <row r="3374" spans="1:14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</row>
    <row r="3375" spans="1:14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</row>
    <row r="3376" spans="1:14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</row>
    <row r="3377" spans="1:14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</row>
    <row r="3378" spans="1:14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</row>
    <row r="3379" spans="1:14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</row>
    <row r="3380" spans="1:14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</row>
    <row r="3381" spans="1:14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</row>
    <row r="3382" spans="1:14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</row>
    <row r="3383" spans="1:14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</row>
    <row r="3384" spans="1:14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</row>
    <row r="3385" spans="1:14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</row>
    <row r="3386" spans="1:14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</row>
    <row r="3387" spans="1:14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</row>
    <row r="3388" spans="1:14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</row>
    <row r="3389" spans="1:14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</row>
    <row r="3390" spans="1:14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</row>
    <row r="3391" spans="1:14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</row>
    <row r="3392" spans="1:14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</row>
    <row r="3393" spans="1:14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</row>
    <row r="3394" spans="1:14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</row>
    <row r="3395" spans="1:14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</row>
    <row r="3396" spans="1:14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</row>
    <row r="3397" spans="1:14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</row>
    <row r="3398" spans="1:14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</row>
    <row r="3399" spans="1:14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</row>
    <row r="3400" spans="1:14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</row>
    <row r="3401" spans="1:14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</row>
    <row r="3402" spans="1:14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</row>
    <row r="3403" spans="1:14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</row>
    <row r="3404" spans="1:14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</row>
    <row r="3405" spans="1:14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</row>
    <row r="3406" spans="1:14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</row>
    <row r="3407" spans="1:14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</row>
    <row r="3408" spans="1:14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</row>
    <row r="3409" spans="1:14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</row>
    <row r="3410" spans="1:14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</row>
    <row r="3411" spans="1:14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</row>
    <row r="3412" spans="1:14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</row>
    <row r="3413" spans="1:14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</row>
    <row r="3414" spans="1:14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</row>
    <row r="3415" spans="1:14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</row>
    <row r="3416" spans="1:14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</row>
    <row r="3417" spans="1:14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</row>
    <row r="3418" spans="1:14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</row>
    <row r="3419" spans="1:14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</row>
    <row r="3420" spans="1:14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</row>
    <row r="3421" spans="1:14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</row>
    <row r="3422" spans="1:14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</row>
    <row r="3423" spans="1:14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</row>
    <row r="3424" spans="1:14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</row>
    <row r="3425" spans="1:14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</row>
    <row r="3426" spans="1:14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</row>
    <row r="3427" spans="1:14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</row>
    <row r="3428" spans="1:14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</row>
    <row r="3429" spans="1:14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</row>
    <row r="3430" spans="1:14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</row>
    <row r="3431" spans="1:14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</row>
    <row r="3432" spans="1:14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</row>
    <row r="3433" spans="1:14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</row>
    <row r="3434" spans="1:14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</row>
    <row r="3435" spans="1:14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</row>
    <row r="3436" spans="1:14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</row>
    <row r="3437" spans="1:14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</row>
    <row r="3438" spans="1:14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</row>
    <row r="3439" spans="1:14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</row>
    <row r="3440" spans="1:14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</row>
    <row r="3441" spans="1:14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</row>
    <row r="3442" spans="1:14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</row>
    <row r="3443" spans="1:14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</row>
    <row r="3444" spans="1:14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</row>
    <row r="3445" spans="1:14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</row>
    <row r="3446" spans="1:14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</row>
    <row r="3447" spans="1:14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</row>
    <row r="3448" spans="1:14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</row>
    <row r="3449" spans="1:14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</row>
    <row r="3450" spans="1:14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</row>
    <row r="3451" spans="1:14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</row>
    <row r="3452" spans="1:14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</row>
    <row r="3453" spans="1:14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</row>
    <row r="3454" spans="1:14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</row>
    <row r="3455" spans="1:14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</row>
    <row r="3456" spans="1:14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</row>
    <row r="3457" spans="1:14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</row>
    <row r="3458" spans="1:14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</row>
    <row r="3459" spans="1:14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</row>
    <row r="3460" spans="1:14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</row>
    <row r="3461" spans="1:14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</row>
    <row r="3462" spans="1:14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</row>
    <row r="3463" spans="1:14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</row>
    <row r="3464" spans="1:14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</row>
    <row r="3465" spans="1:14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</row>
    <row r="3466" spans="1:14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</row>
    <row r="3467" spans="1:14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</row>
    <row r="3468" spans="1:14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</row>
    <row r="3469" spans="1:14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</row>
    <row r="3470" spans="1:14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</row>
    <row r="3471" spans="1:14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</row>
    <row r="3472" spans="1:14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</row>
    <row r="3473" spans="1:14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</row>
    <row r="3474" spans="1:14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</row>
    <row r="3475" spans="1:14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</row>
    <row r="3476" spans="1:14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</row>
    <row r="3477" spans="1:14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</row>
    <row r="3478" spans="1:14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</row>
    <row r="3479" spans="1:14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</row>
    <row r="3480" spans="1:14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</row>
    <row r="3481" spans="1:14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</row>
    <row r="3482" spans="1:14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</row>
    <row r="3483" spans="1:14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</row>
    <row r="3484" spans="1:14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</row>
    <row r="3485" spans="1:14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</row>
    <row r="3486" spans="1:14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</row>
    <row r="3487" spans="1:14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</row>
    <row r="3488" spans="1:14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</row>
    <row r="3489" spans="1:14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</row>
    <row r="3490" spans="1:14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</row>
    <row r="3491" spans="1:14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</row>
    <row r="3492" spans="1:14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</row>
    <row r="3493" spans="1:14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</row>
    <row r="3494" spans="1:14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</row>
    <row r="3495" spans="1:14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</row>
    <row r="3496" spans="1:14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</row>
    <row r="3497" spans="1:14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</row>
    <row r="3498" spans="1:14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</row>
    <row r="3499" spans="1:14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</row>
    <row r="3500" spans="1:14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</row>
    <row r="3501" spans="1:14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</row>
    <row r="3502" spans="1:14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</row>
    <row r="3503" spans="1:14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</row>
    <row r="3504" spans="1:14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</row>
    <row r="3505" spans="1:14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</row>
    <row r="3506" spans="1:14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</row>
    <row r="3507" spans="1:14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</row>
    <row r="3508" spans="1:14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</row>
    <row r="3509" spans="1:14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</row>
    <row r="3510" spans="1:14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</row>
    <row r="3511" spans="1:14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</row>
    <row r="3512" spans="1:14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</row>
    <row r="3513" spans="1:14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</row>
    <row r="3514" spans="1:14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</row>
    <row r="3515" spans="1:14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</row>
    <row r="3516" spans="1:14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</row>
    <row r="3517" spans="1:14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</row>
    <row r="3518" spans="1:14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</row>
    <row r="3519" spans="1:14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</row>
    <row r="3520" spans="1:14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</row>
    <row r="3521" spans="1:14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</row>
    <row r="3522" spans="1:14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</row>
    <row r="3523" spans="1:14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</row>
    <row r="3524" spans="1:14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</row>
    <row r="3525" spans="1:14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</row>
    <row r="3526" spans="1:14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</row>
    <row r="3527" spans="1:14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</row>
    <row r="3528" spans="1:14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</row>
    <row r="3529" spans="1:14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</row>
    <row r="3530" spans="1:14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</row>
    <row r="3531" spans="1:14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</row>
    <row r="3532" spans="1:14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</row>
    <row r="3533" spans="1:14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</row>
    <row r="3534" spans="1:14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</row>
    <row r="3535" spans="1:14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</row>
    <row r="3536" spans="1:14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</row>
    <row r="3537" spans="1:14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</row>
    <row r="3538" spans="1:14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</row>
    <row r="3539" spans="1:14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</row>
    <row r="3540" spans="1:14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</row>
    <row r="3541" spans="1:14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</row>
    <row r="3542" spans="1:14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</row>
    <row r="3543" spans="1:14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</row>
    <row r="3544" spans="1:14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</row>
    <row r="3545" spans="1:14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</row>
    <row r="3546" spans="1:14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</row>
    <row r="3547" spans="1:14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</row>
    <row r="3548" spans="1:14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</row>
    <row r="3549" spans="1:14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</row>
    <row r="3550" spans="1:14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</row>
    <row r="3551" spans="1:14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</row>
    <row r="3552" spans="1:14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</row>
    <row r="3553" spans="1:14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</row>
    <row r="3554" spans="1:14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</row>
    <row r="3555" spans="1:14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</row>
    <row r="3556" spans="1:14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</row>
    <row r="3557" spans="1:14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</row>
    <row r="3558" spans="1:14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</row>
    <row r="3559" spans="1:14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</row>
    <row r="3560" spans="1:14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</row>
    <row r="3561" spans="1:14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</row>
    <row r="3562" spans="1:14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</row>
    <row r="3563" spans="1:14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</row>
    <row r="3564" spans="1:14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</row>
    <row r="3565" spans="1:14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</row>
    <row r="3566" spans="1:14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</row>
    <row r="3567" spans="1:14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</row>
    <row r="3568" spans="1:14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</row>
    <row r="3569" spans="1:14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</row>
    <row r="3570" spans="1:14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</row>
    <row r="3571" spans="1:14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</row>
    <row r="3572" spans="1:14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</row>
    <row r="3573" spans="1:14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</row>
    <row r="3574" spans="1:14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</row>
    <row r="3575" spans="1:14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</row>
    <row r="3576" spans="1:14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</row>
    <row r="3577" spans="1:14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</row>
    <row r="3578" spans="1:14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</row>
    <row r="3579" spans="1:14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</row>
    <row r="3580" spans="1:14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</row>
    <row r="3581" spans="1:14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</row>
    <row r="3582" spans="1:14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</row>
    <row r="3583" spans="1:14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</row>
    <row r="3584" spans="1:14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</row>
    <row r="3585" spans="1:14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</row>
    <row r="3586" spans="1:14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</row>
    <row r="3587" spans="1:14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</row>
    <row r="3588" spans="1:14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</row>
    <row r="3589" spans="1:14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</row>
    <row r="3590" spans="1:14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</row>
    <row r="3591" spans="1:14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</row>
    <row r="3592" spans="1:14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</row>
    <row r="3593" spans="1:14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</row>
    <row r="3594" spans="1:14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</row>
    <row r="3595" spans="1:14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</row>
    <row r="3596" spans="1:14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</row>
    <row r="3597" spans="1:14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</row>
    <row r="3598" spans="1:14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</row>
    <row r="3599" spans="1:14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</row>
    <row r="3600" spans="1:14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</row>
    <row r="3601" spans="1:14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</row>
    <row r="3602" spans="1:14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</row>
    <row r="3603" spans="1:14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</row>
    <row r="3604" spans="1:14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</row>
    <row r="3605" spans="1:14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</row>
    <row r="3606" spans="1:14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</row>
    <row r="3607" spans="1:14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</row>
    <row r="3608" spans="1:14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</row>
    <row r="3609" spans="1:14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</row>
    <row r="3610" spans="1:14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</row>
    <row r="3611" spans="1:14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</row>
    <row r="3612" spans="1:14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</row>
    <row r="3613" spans="1:14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</row>
    <row r="3614" spans="1:14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</row>
    <row r="3615" spans="1:14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</row>
    <row r="3616" spans="1:14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</row>
    <row r="3617" spans="1:14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</row>
    <row r="3618" spans="1:14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</row>
    <row r="3619" spans="1:14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</row>
    <row r="3620" spans="1:14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</row>
    <row r="3621" spans="1:14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</row>
    <row r="3622" spans="1:14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</row>
    <row r="3623" spans="1:14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</row>
    <row r="3624" spans="1:14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</row>
    <row r="3625" spans="1:14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</row>
    <row r="3626" spans="1:14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</row>
    <row r="3627" spans="1:14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</row>
    <row r="3628" spans="1:14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</row>
    <row r="3629" spans="1:14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</row>
    <row r="3630" spans="1:14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</row>
    <row r="3631" spans="1:14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</row>
    <row r="3632" spans="1:14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</row>
    <row r="3633" spans="1:14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</row>
    <row r="3634" spans="1:14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</row>
    <row r="3635" spans="1:14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</row>
    <row r="3636" spans="1:14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</row>
    <row r="3637" spans="1:14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</row>
    <row r="3638" spans="1:14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</row>
    <row r="3639" spans="1:14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</row>
    <row r="3640" spans="1:14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</row>
    <row r="3641" spans="1:14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</row>
    <row r="3642" spans="1:14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</row>
    <row r="3643" spans="1:14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</row>
    <row r="3644" spans="1:14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</row>
    <row r="3645" spans="1:14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</row>
    <row r="3646" spans="1:14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</row>
    <row r="3647" spans="1:14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</row>
    <row r="3648" spans="1:14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</row>
    <row r="3649" spans="1:14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</row>
    <row r="3650" spans="1:14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</row>
    <row r="3651" spans="1:14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</row>
    <row r="3652" spans="1:14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</row>
    <row r="3653" spans="1:14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</row>
    <row r="3654" spans="1:14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</row>
    <row r="3655" spans="1:14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</row>
    <row r="3656" spans="1:14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</row>
    <row r="3657" spans="1:14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</row>
    <row r="3658" spans="1:14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</row>
    <row r="3659" spans="1:14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</row>
    <row r="3660" spans="1:14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</row>
    <row r="3661" spans="1:14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</row>
    <row r="3662" spans="1:14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</row>
    <row r="3663" spans="1:14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</row>
    <row r="3664" spans="1:14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</row>
    <row r="3665" spans="1:14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</row>
    <row r="3666" spans="1:14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</row>
    <row r="3667" spans="1:14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</row>
    <row r="3668" spans="1:14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</row>
    <row r="3669" spans="1:14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</row>
    <row r="3670" spans="1:14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</row>
    <row r="3671" spans="1:14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</row>
    <row r="3672" spans="1:14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</row>
    <row r="3673" spans="1:14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</row>
    <row r="3674" spans="1:14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</row>
    <row r="3675" spans="1:14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</row>
    <row r="3676" spans="1:14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</row>
    <row r="3677" spans="1:14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</row>
    <row r="3678" spans="1:14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</row>
    <row r="3679" spans="1:14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</row>
    <row r="3680" spans="1:14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</row>
    <row r="3681" spans="1:14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</row>
    <row r="3682" spans="1:14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</row>
    <row r="3683" spans="1:14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</row>
    <row r="3684" spans="1:14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</row>
    <row r="3685" spans="1:14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</row>
    <row r="3686" spans="1:14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</row>
    <row r="3687" spans="1:14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</row>
    <row r="3688" spans="1:14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</row>
    <row r="3689" spans="1:14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</row>
    <row r="3690" spans="1:14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</row>
    <row r="3691" spans="1:14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</row>
    <row r="3692" spans="1:14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</row>
    <row r="3693" spans="1:14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</row>
    <row r="3694" spans="1:14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</row>
    <row r="3695" spans="1:14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</row>
    <row r="3696" spans="1:14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</row>
    <row r="3697" spans="1:14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</row>
    <row r="3698" spans="1:14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</row>
    <row r="3699" spans="1:14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</row>
    <row r="3700" spans="1:14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</row>
    <row r="3701" spans="1:14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</row>
    <row r="3702" spans="1:14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</row>
    <row r="3703" spans="1:14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</row>
    <row r="3704" spans="1:14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</row>
    <row r="3705" spans="1:14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</row>
    <row r="3706" spans="1:14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</row>
    <row r="3707" spans="1:14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</row>
    <row r="3708" spans="1:14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</row>
    <row r="3709" spans="1:14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</row>
    <row r="3710" spans="1:14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</row>
    <row r="3711" spans="1:14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</row>
    <row r="3712" spans="1:14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</row>
    <row r="3713" spans="1:14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</row>
    <row r="3714" spans="1:14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</row>
    <row r="3715" spans="1:14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</row>
    <row r="3716" spans="1:14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</row>
    <row r="3717" spans="1:14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</row>
    <row r="3718" spans="1:14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</row>
    <row r="3719" spans="1:14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</row>
    <row r="3720" spans="1:14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</row>
    <row r="3721" spans="1:14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</row>
    <row r="3722" spans="1:14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</row>
    <row r="3723" spans="1:14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</row>
    <row r="3724" spans="1:14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</row>
    <row r="3725" spans="1:14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</row>
    <row r="3726" spans="1:14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</row>
    <row r="3727" spans="1:14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</row>
    <row r="3728" spans="1:14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</row>
    <row r="3729" spans="1:14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</row>
    <row r="3730" spans="1:14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</row>
    <row r="3731" spans="1:14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</row>
    <row r="3732" spans="1:14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</row>
    <row r="3733" spans="1:14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</row>
    <row r="3734" spans="1:14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</row>
    <row r="3735" spans="1:14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</row>
    <row r="3736" spans="1:14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</row>
    <row r="3737" spans="1:14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</row>
    <row r="3738" spans="1:14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</row>
    <row r="3739" spans="1:14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</row>
    <row r="3740" spans="1:14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</row>
    <row r="3741" spans="1:14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</row>
    <row r="3742" spans="1:14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</row>
    <row r="3743" spans="1:14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</row>
    <row r="3744" spans="1:14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</row>
    <row r="3745" spans="1:14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</row>
    <row r="3746" spans="1:14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</row>
    <row r="3747" spans="1:14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</row>
    <row r="3748" spans="1:14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</row>
    <row r="3749" spans="1:14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</row>
    <row r="3750" spans="1:14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</row>
    <row r="3751" spans="1:14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</row>
    <row r="3752" spans="1:14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</row>
    <row r="3753" spans="1:14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</row>
    <row r="3754" spans="1:14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</row>
    <row r="3755" spans="1:14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</row>
    <row r="3756" spans="1:14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</row>
    <row r="3757" spans="1:14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</row>
    <row r="3758" spans="1:14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</row>
    <row r="3759" spans="1:14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</row>
    <row r="3760" spans="1:14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</row>
    <row r="3761" spans="1:14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</row>
    <row r="3762" spans="1:14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</row>
    <row r="3763" spans="1:14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</row>
    <row r="3764" spans="1:14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</row>
    <row r="3765" spans="1:14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</row>
    <row r="3766" spans="1:14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</row>
    <row r="3767" spans="1:14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</row>
    <row r="3768" spans="1:14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</row>
    <row r="3769" spans="1:14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</row>
    <row r="3770" spans="1:14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</row>
    <row r="3771" spans="1:14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</row>
    <row r="3772" spans="1:14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</row>
    <row r="3773" spans="1:14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</row>
    <row r="3774" spans="1:14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</row>
    <row r="3775" spans="1:14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</row>
    <row r="3776" spans="1:14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</row>
    <row r="3777" spans="1:14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</row>
    <row r="3778" spans="1:14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</row>
    <row r="3779" spans="1:14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</row>
    <row r="3780" spans="1:14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</row>
    <row r="3781" spans="1:14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</row>
    <row r="3782" spans="1:14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</row>
    <row r="3783" spans="1:14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</row>
    <row r="3784" spans="1:14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</row>
    <row r="3785" spans="1:14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</row>
    <row r="3786" spans="1:14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</row>
    <row r="3787" spans="1:14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</row>
    <row r="3788" spans="1:14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</row>
    <row r="3789" spans="1:14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</row>
    <row r="3790" spans="1:14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</row>
    <row r="3791" spans="1:14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</row>
    <row r="3792" spans="1:14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</row>
    <row r="3793" spans="1:14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</row>
    <row r="3794" spans="1:14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</row>
    <row r="3795" spans="1:14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</row>
    <row r="3796" spans="1:14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</row>
    <row r="3797" spans="1:14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</row>
    <row r="3798" spans="1:14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</row>
    <row r="3799" spans="1:14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</row>
    <row r="3800" spans="1:14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</row>
    <row r="3801" spans="1:14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</row>
    <row r="3802" spans="1:14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</row>
    <row r="3803" spans="1:14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</row>
    <row r="3804" spans="1:14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</row>
    <row r="3805" spans="1:14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</row>
    <row r="3806" spans="1:14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</row>
    <row r="3807" spans="1:14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</row>
    <row r="3808" spans="1:14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</row>
    <row r="3809" spans="1:14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</row>
    <row r="3810" spans="1:14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</row>
    <row r="3811" spans="1:14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</row>
    <row r="3812" spans="1:14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</row>
    <row r="3813" spans="1:14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</row>
    <row r="3814" spans="1:14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</row>
    <row r="3815" spans="1:14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</row>
    <row r="3816" spans="1:14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</row>
    <row r="3817" spans="1:14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</row>
    <row r="3818" spans="1:14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</row>
    <row r="3819" spans="1:14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</row>
    <row r="3820" spans="1:14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</row>
    <row r="3821" spans="1:14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</row>
    <row r="3822" spans="1:14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</row>
    <row r="3823" spans="1:14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</row>
    <row r="3824" spans="1:14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</row>
    <row r="3825" spans="1:14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</row>
    <row r="3826" spans="1:14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</row>
    <row r="3827" spans="1:14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</row>
    <row r="3828" spans="1:14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</row>
    <row r="3829" spans="1:14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</row>
    <row r="3830" spans="1:14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</row>
    <row r="3831" spans="1:14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</row>
    <row r="3832" spans="1:14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</row>
    <row r="3833" spans="1:14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</row>
    <row r="3834" spans="1:14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</row>
    <row r="3835" spans="1:14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</row>
    <row r="3836" spans="1:14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</row>
    <row r="3837" spans="1:14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</row>
    <row r="3838" spans="1:14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</row>
    <row r="3839" spans="1:14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</row>
    <row r="3840" spans="1:14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</row>
    <row r="3841" spans="1:14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</row>
    <row r="3842" spans="1:14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</row>
    <row r="3843" spans="1:14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</row>
    <row r="3844" spans="1:14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</row>
    <row r="3845" spans="1:14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</row>
    <row r="3846" spans="1:14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</row>
    <row r="3847" spans="1:14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</row>
    <row r="3848" spans="1:14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</row>
    <row r="3849" spans="1:14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</row>
    <row r="3850" spans="1:14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</row>
    <row r="3851" spans="1:14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</row>
    <row r="3852" spans="1:14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</row>
    <row r="3853" spans="1:14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</row>
    <row r="3854" spans="1:14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</row>
    <row r="3855" spans="1:14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</row>
    <row r="3856" spans="1:14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</row>
    <row r="3857" spans="1:14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</row>
    <row r="3858" spans="1:14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</row>
    <row r="3859" spans="1:14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</row>
    <row r="3860" spans="1:14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</row>
    <row r="3861" spans="1:14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</row>
    <row r="3862" spans="1:14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</row>
    <row r="3863" spans="1:14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</row>
    <row r="3864" spans="1:14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</row>
    <row r="3865" spans="1:14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</row>
    <row r="3866" spans="1:14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</row>
    <row r="3867" spans="1:14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</row>
    <row r="3868" spans="1:14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</row>
    <row r="3869" spans="1:14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</row>
    <row r="3870" spans="1:14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</row>
    <row r="3871" spans="1:14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</row>
    <row r="3872" spans="1:14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</row>
    <row r="3873" spans="1:14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</row>
    <row r="3874" spans="1:14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</row>
    <row r="3875" spans="1:14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</row>
    <row r="3876" spans="1:14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</row>
    <row r="3877" spans="1:14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</row>
    <row r="3878" spans="1:14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</row>
    <row r="3879" spans="1:14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</row>
    <row r="3880" spans="1:14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</row>
    <row r="3881" spans="1:14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</row>
    <row r="3882" spans="1:14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</row>
    <row r="3883" spans="1:14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</row>
    <row r="3884" spans="1:14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</row>
    <row r="3885" spans="1:14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</row>
    <row r="3886" spans="1:14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</row>
    <row r="3887" spans="1:14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</row>
    <row r="3888" spans="1:14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</row>
    <row r="3889" spans="1:14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</row>
    <row r="3890" spans="1:14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</row>
    <row r="3891" spans="1:14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</row>
    <row r="3892" spans="1:14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</row>
    <row r="3893" spans="1:14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</row>
    <row r="3894" spans="1:14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</row>
    <row r="3895" spans="1:14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</row>
    <row r="3896" spans="1:14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</row>
    <row r="3897" spans="1:14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</row>
    <row r="3898" spans="1:14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</row>
    <row r="3899" spans="1:14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</row>
    <row r="3900" spans="1:14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</row>
    <row r="3901" spans="1:14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</row>
    <row r="3902" spans="1:14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</row>
    <row r="3903" spans="1:14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</row>
    <row r="3904" spans="1:14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</row>
    <row r="3905" spans="1:14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</row>
    <row r="3906" spans="1:14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</row>
    <row r="3907" spans="1:14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</row>
    <row r="3908" spans="1:14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</row>
    <row r="3909" spans="1:14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</row>
    <row r="3910" spans="1:14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</row>
    <row r="3911" spans="1:14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</row>
    <row r="3912" spans="1:14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</row>
    <row r="3913" spans="1:14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</row>
    <row r="3914" spans="1:14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</row>
    <row r="3915" spans="1:14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</row>
    <row r="3916" spans="1:14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</row>
    <row r="3917" spans="1:14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</row>
    <row r="3918" spans="1:14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</row>
    <row r="3919" spans="1:14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</row>
    <row r="3920" spans="1:14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</row>
    <row r="3921" spans="1:14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</row>
    <row r="3922" spans="1:14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</row>
    <row r="3923" spans="1:14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</row>
    <row r="3924" spans="1:14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</row>
    <row r="3925" spans="1:14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</row>
    <row r="3926" spans="1:14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</row>
    <row r="3927" spans="1:14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</row>
    <row r="3928" spans="1:14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</row>
    <row r="3929" spans="1:14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</row>
    <row r="3930" spans="1:14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</row>
    <row r="3931" spans="1:14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</row>
    <row r="3932" spans="1:14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</row>
    <row r="3933" spans="1:14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</row>
    <row r="3934" spans="1:14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</row>
    <row r="3935" spans="1:14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</row>
    <row r="3936" spans="1:14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</row>
    <row r="3937" spans="1:14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</row>
    <row r="3938" spans="1:14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</row>
    <row r="3939" spans="1:14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</row>
    <row r="3940" spans="1:14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</row>
    <row r="3941" spans="1:14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</row>
    <row r="3942" spans="1:14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</row>
    <row r="3943" spans="1:14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</row>
    <row r="3944" spans="1:14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</row>
    <row r="3945" spans="1:14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</row>
    <row r="3946" spans="1:14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</row>
    <row r="3947" spans="1:14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</row>
    <row r="3948" spans="1:14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</row>
    <row r="3949" spans="1:14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</row>
    <row r="3950" spans="1:14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</row>
    <row r="3951" spans="1:14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</row>
    <row r="3952" spans="1:14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</row>
    <row r="3953" spans="1:14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</row>
    <row r="3954" spans="1:14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</row>
    <row r="3955" spans="1:14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</row>
    <row r="3956" spans="1:14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</row>
    <row r="3957" spans="1:14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</row>
    <row r="3958" spans="1:14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</row>
    <row r="3959" spans="1:14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</row>
    <row r="3960" spans="1:14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</row>
    <row r="3961" spans="1:14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</row>
    <row r="3962" spans="1:14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</row>
    <row r="3963" spans="1:14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</row>
    <row r="3964" spans="1:14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</row>
    <row r="3965" spans="1:14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</row>
    <row r="3966" spans="1:14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</row>
    <row r="3967" spans="1:14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</row>
    <row r="3968" spans="1:14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</row>
    <row r="3969" spans="1:14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</row>
    <row r="3970" spans="1:14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</row>
    <row r="3971" spans="1:14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</row>
    <row r="3972" spans="1:14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</row>
    <row r="3973" spans="1:14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</row>
    <row r="3974" spans="1:14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</row>
    <row r="3975" spans="1:14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</row>
    <row r="3976" spans="1:14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</row>
    <row r="3977" spans="1:14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</row>
    <row r="3978" spans="1:14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</row>
    <row r="3979" spans="1:14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</row>
    <row r="3980" spans="1:14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</row>
    <row r="3981" spans="1:14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</row>
    <row r="3982" spans="1:14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</row>
    <row r="3983" spans="1:14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</row>
    <row r="3984" spans="1:14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</row>
    <row r="3985" spans="1:14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</row>
    <row r="3986" spans="1:14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</row>
    <row r="3987" spans="1:14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</row>
    <row r="3988" spans="1:14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</row>
    <row r="3989" spans="1:14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</row>
    <row r="3990" spans="1:14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</row>
    <row r="3991" spans="1:14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</row>
    <row r="3992" spans="1:14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</row>
    <row r="3993" spans="1:14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</row>
    <row r="3994" spans="1:14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</row>
    <row r="3995" spans="1:14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</row>
    <row r="3996" spans="1:14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</row>
    <row r="3997" spans="1:14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</row>
    <row r="3998" spans="1:14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</row>
    <row r="3999" spans="1:14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</row>
    <row r="4000" spans="1:14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</row>
    <row r="4001" spans="1:14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</row>
    <row r="4002" spans="1:14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</row>
    <row r="4003" spans="1:14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</row>
    <row r="4004" spans="1:14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</row>
    <row r="4005" spans="1:14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</row>
    <row r="4006" spans="1:14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</row>
    <row r="4007" spans="1:14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</row>
    <row r="4008" spans="1:14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</row>
    <row r="4009" spans="1:14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</row>
    <row r="4010" spans="1:14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</row>
    <row r="4011" spans="1:14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</row>
    <row r="4012" spans="1:14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</row>
    <row r="4013" spans="1:14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</row>
    <row r="4014" spans="1:14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</row>
    <row r="4015" spans="1:14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</row>
    <row r="4016" spans="1:14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</row>
    <row r="4017" spans="1:14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</row>
    <row r="4018" spans="1:14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</row>
    <row r="4019" spans="1:14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</row>
    <row r="4020" spans="1:14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</row>
    <row r="4021" spans="1:14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</row>
    <row r="4022" spans="1:14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</row>
    <row r="4023" spans="1:14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</row>
    <row r="4024" spans="1:14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</row>
    <row r="4025" spans="1:14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</row>
    <row r="4026" spans="1:14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</row>
    <row r="4027" spans="1:14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</row>
    <row r="4028" spans="1:14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</row>
    <row r="4029" spans="1:14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</row>
    <row r="4030" spans="1:14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</row>
    <row r="4031" spans="1:14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</row>
    <row r="4032" spans="1:14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</row>
    <row r="4033" spans="1:14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</row>
    <row r="4034" spans="1:14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</row>
    <row r="4035" spans="1:14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</row>
    <row r="4036" spans="1:14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</row>
    <row r="4037" spans="1:14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</row>
    <row r="4038" spans="1:14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</row>
    <row r="4039" spans="1:14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</row>
    <row r="4040" spans="1:14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</row>
    <row r="4041" spans="1:14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</row>
    <row r="4042" spans="1:14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</row>
    <row r="4043" spans="1:14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</row>
    <row r="4044" spans="1:14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</row>
    <row r="4045" spans="1:14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</row>
    <row r="4046" spans="1:14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</row>
    <row r="4047" spans="1:14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</row>
    <row r="4048" spans="1:14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</row>
    <row r="4049" spans="1:14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</row>
    <row r="4050" spans="1:14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</row>
    <row r="4051" spans="1:14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</row>
    <row r="4052" spans="1:14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</row>
    <row r="4053" spans="1:14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</row>
    <row r="4054" spans="1:14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</row>
    <row r="4055" spans="1:14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</row>
    <row r="4056" spans="1:14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</row>
    <row r="4057" spans="1:14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</row>
    <row r="4058" spans="1:14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</row>
    <row r="4059" spans="1:14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</row>
    <row r="4060" spans="1:14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</row>
    <row r="4061" spans="1:14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</row>
    <row r="4062" spans="1:14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</row>
    <row r="4063" spans="1:14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</row>
    <row r="4064" spans="1:14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</row>
    <row r="4065" spans="1:14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</row>
    <row r="4066" spans="1:14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</row>
    <row r="4067" spans="1:14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</row>
    <row r="4068" spans="1:14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</row>
    <row r="4069" spans="1:14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</row>
    <row r="4070" spans="1:14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</row>
    <row r="4071" spans="1:14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</row>
    <row r="4072" spans="1:14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</row>
    <row r="4073" spans="1:14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</row>
    <row r="4074" spans="1:14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</row>
    <row r="4075" spans="1:14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</row>
    <row r="4076" spans="1:14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</row>
    <row r="4077" spans="1:14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</row>
    <row r="4078" spans="1:14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</row>
    <row r="4079" spans="1:14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</row>
    <row r="4080" spans="1:14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</row>
    <row r="4081" spans="1:14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</row>
    <row r="4082" spans="1:14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</row>
    <row r="4083" spans="1:14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</row>
    <row r="4084" spans="1:14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</row>
    <row r="4085" spans="1:14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</row>
    <row r="4086" spans="1:14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</row>
    <row r="4087" spans="1:14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</row>
    <row r="4088" spans="1:14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</row>
    <row r="4089" spans="1:14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</row>
    <row r="4090" spans="1:14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</row>
    <row r="4091" spans="1:14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</row>
    <row r="4092" spans="1:14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</row>
    <row r="4093" spans="1:14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</row>
    <row r="4094" spans="1:14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</row>
    <row r="4095" spans="1:14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</row>
    <row r="4096" spans="1:14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</row>
    <row r="4097" spans="1:14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</row>
    <row r="4098" spans="1:14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</row>
    <row r="4099" spans="1:14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</row>
    <row r="4100" spans="1:14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</row>
    <row r="4101" spans="1:14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</row>
    <row r="4102" spans="1:14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</row>
    <row r="4103" spans="1:14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</row>
    <row r="4104" spans="1:14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</row>
    <row r="4105" spans="1:14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</row>
    <row r="4106" spans="1:14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</row>
    <row r="4107" spans="1:14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</row>
    <row r="4108" spans="1:14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</row>
    <row r="4109" spans="1:14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</row>
    <row r="4110" spans="1:14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</row>
    <row r="4111" spans="1:14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</row>
    <row r="4112" spans="1:14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</row>
    <row r="4113" spans="1:14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</row>
    <row r="4114" spans="1:14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</row>
    <row r="4115" spans="1:14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0E5CE-92CE-9943-9285-6100F24E79EB}">
  <sheetPr codeName="Sheet2"/>
  <dimension ref="A3:D34"/>
  <sheetViews>
    <sheetView topLeftCell="A2" workbookViewId="0">
      <selection activeCell="A34" sqref="A34"/>
    </sheetView>
  </sheetViews>
  <sheetFormatPr baseColWidth="10" defaultRowHeight="15" x14ac:dyDescent="0.2"/>
  <cols>
    <col min="1" max="1" width="13.5" bestFit="1" customWidth="1"/>
    <col min="2" max="2" width="23.1640625" bestFit="1" customWidth="1"/>
    <col min="3" max="3" width="20.6640625" bestFit="1" customWidth="1"/>
    <col min="4" max="4" width="24" bestFit="1" customWidth="1"/>
    <col min="5" max="5" width="20.6640625" bestFit="1" customWidth="1"/>
    <col min="6" max="6" width="23.1640625" bestFit="1" customWidth="1"/>
    <col min="7" max="7" width="20.6640625" bestFit="1" customWidth="1"/>
    <col min="8" max="8" width="23.1640625" bestFit="1" customWidth="1"/>
    <col min="9" max="9" width="20.6640625" bestFit="1" customWidth="1"/>
    <col min="10" max="10" width="23.1640625" bestFit="1" customWidth="1"/>
    <col min="11" max="11" width="20.6640625" bestFit="1" customWidth="1"/>
    <col min="12" max="12" width="23.1640625" bestFit="1" customWidth="1"/>
    <col min="13" max="13" width="20.6640625" bestFit="1" customWidth="1"/>
    <col min="14" max="14" width="23.1640625" bestFit="1" customWidth="1"/>
    <col min="15" max="15" width="20.6640625" bestFit="1" customWidth="1"/>
    <col min="16" max="16" width="23.1640625" bestFit="1" customWidth="1"/>
    <col min="17" max="17" width="20.6640625" bestFit="1" customWidth="1"/>
    <col min="18" max="18" width="23.1640625" bestFit="1" customWidth="1"/>
    <col min="19" max="19" width="20.6640625" bestFit="1" customWidth="1"/>
    <col min="20" max="20" width="23.1640625" bestFit="1" customWidth="1"/>
    <col min="21" max="21" width="20.6640625" bestFit="1" customWidth="1"/>
    <col min="22" max="22" width="23.1640625" bestFit="1" customWidth="1"/>
    <col min="23" max="23" width="20.6640625" bestFit="1" customWidth="1"/>
    <col min="24" max="24" width="23.1640625" bestFit="1" customWidth="1"/>
    <col min="25" max="25" width="20.6640625" bestFit="1" customWidth="1"/>
    <col min="26" max="26" width="27.5" bestFit="1" customWidth="1"/>
    <col min="27" max="27" width="25" bestFit="1" customWidth="1"/>
    <col min="28" max="28" width="8.83203125" bestFit="1" customWidth="1"/>
    <col min="29" max="29" width="4.6640625" bestFit="1" customWidth="1"/>
    <col min="30" max="31" width="8.83203125" bestFit="1" customWidth="1"/>
    <col min="32" max="32" width="4.6640625" bestFit="1" customWidth="1"/>
    <col min="33" max="34" width="8.83203125" bestFit="1" customWidth="1"/>
    <col min="35" max="35" width="4.6640625" bestFit="1" customWidth="1"/>
    <col min="36" max="37" width="8.83203125" bestFit="1" customWidth="1"/>
    <col min="38" max="38" width="10" bestFit="1" customWidth="1"/>
  </cols>
  <sheetData>
    <row r="3" spans="1:4" x14ac:dyDescent="0.2">
      <c r="A3" s="6" t="s">
        <v>8327</v>
      </c>
      <c r="B3" t="s">
        <v>8329</v>
      </c>
      <c r="C3" t="s">
        <v>8330</v>
      </c>
      <c r="D3" t="s">
        <v>8331</v>
      </c>
    </row>
    <row r="4" spans="1:4" x14ac:dyDescent="0.2">
      <c r="A4" s="7" t="s">
        <v>8314</v>
      </c>
      <c r="B4" s="8">
        <v>420</v>
      </c>
      <c r="C4" s="8">
        <v>60</v>
      </c>
      <c r="D4" s="8">
        <v>932</v>
      </c>
    </row>
    <row r="5" spans="1:4" x14ac:dyDescent="0.2">
      <c r="A5" s="7" t="s">
        <v>8316</v>
      </c>
      <c r="B5" s="8">
        <v>144</v>
      </c>
      <c r="C5" s="8">
        <v>40</v>
      </c>
      <c r="D5" s="8">
        <v>168</v>
      </c>
    </row>
    <row r="6" spans="1:4" x14ac:dyDescent="0.2">
      <c r="A6" s="7" t="s">
        <v>8317</v>
      </c>
      <c r="B6" s="8">
        <v>90</v>
      </c>
      <c r="C6" s="8">
        <v>17</v>
      </c>
      <c r="D6" s="8">
        <v>94</v>
      </c>
    </row>
    <row r="7" spans="1:4" x14ac:dyDescent="0.2">
      <c r="A7" s="7" t="s">
        <v>8318</v>
      </c>
      <c r="B7" s="8">
        <v>72</v>
      </c>
      <c r="C7" s="8">
        <v>14</v>
      </c>
      <c r="D7" s="8">
        <v>62</v>
      </c>
    </row>
    <row r="8" spans="1:4" x14ac:dyDescent="0.2">
      <c r="A8" s="7" t="s">
        <v>8323</v>
      </c>
      <c r="B8" s="8">
        <v>64</v>
      </c>
      <c r="C8" s="8">
        <v>18</v>
      </c>
      <c r="D8" s="8">
        <v>55</v>
      </c>
    </row>
    <row r="9" spans="1:4" x14ac:dyDescent="0.2">
      <c r="A9" s="7" t="s">
        <v>8319</v>
      </c>
      <c r="B9" s="8">
        <v>37</v>
      </c>
      <c r="C9" s="8">
        <v>13</v>
      </c>
      <c r="D9" s="8">
        <v>32</v>
      </c>
    </row>
    <row r="10" spans="1:4" x14ac:dyDescent="0.2">
      <c r="A10" s="7" t="s">
        <v>8320</v>
      </c>
      <c r="B10" s="8">
        <v>22</v>
      </c>
      <c r="C10" s="8">
        <v>7</v>
      </c>
      <c r="D10" s="8">
        <v>26</v>
      </c>
    </row>
    <row r="11" spans="1:4" x14ac:dyDescent="0.2">
      <c r="A11" s="7" t="s">
        <v>8321</v>
      </c>
      <c r="B11" s="8">
        <v>16</v>
      </c>
      <c r="C11" s="8">
        <v>6</v>
      </c>
      <c r="D11" s="8">
        <v>21</v>
      </c>
    </row>
    <row r="12" spans="1:4" x14ac:dyDescent="0.2">
      <c r="A12" s="7" t="s">
        <v>8322</v>
      </c>
      <c r="B12" s="8">
        <v>11</v>
      </c>
      <c r="C12" s="8">
        <v>4</v>
      </c>
      <c r="D12" s="8">
        <v>6</v>
      </c>
    </row>
    <row r="13" spans="1:4" x14ac:dyDescent="0.2">
      <c r="A13" s="7" t="s">
        <v>8315</v>
      </c>
      <c r="B13" s="8">
        <v>283</v>
      </c>
      <c r="C13" s="8">
        <v>52</v>
      </c>
      <c r="D13" s="8">
        <v>381</v>
      </c>
    </row>
    <row r="14" spans="1:4" x14ac:dyDescent="0.2">
      <c r="A14" s="7" t="s">
        <v>8324</v>
      </c>
      <c r="B14" s="8">
        <v>258</v>
      </c>
      <c r="C14" s="8">
        <v>100</v>
      </c>
      <c r="D14" s="8">
        <v>86</v>
      </c>
    </row>
    <row r="15" spans="1:4" x14ac:dyDescent="0.2">
      <c r="A15" s="7" t="s">
        <v>8325</v>
      </c>
      <c r="B15" s="8">
        <v>113</v>
      </c>
      <c r="C15" s="8">
        <v>18</v>
      </c>
      <c r="D15" s="8">
        <v>322</v>
      </c>
    </row>
    <row r="16" spans="1:4" x14ac:dyDescent="0.2">
      <c r="A16" s="7" t="s">
        <v>8328</v>
      </c>
      <c r="B16" s="8">
        <v>1530</v>
      </c>
      <c r="C16" s="8">
        <v>349</v>
      </c>
      <c r="D16" s="8">
        <v>2185</v>
      </c>
    </row>
    <row r="21" spans="1:4" x14ac:dyDescent="0.2">
      <c r="A21" s="6" t="s">
        <v>8327</v>
      </c>
      <c r="B21" t="s">
        <v>8334</v>
      </c>
      <c r="C21" t="s">
        <v>8333</v>
      </c>
      <c r="D21" t="s">
        <v>8332</v>
      </c>
    </row>
    <row r="22" spans="1:4" x14ac:dyDescent="0.2">
      <c r="A22" s="7" t="s">
        <v>8315</v>
      </c>
      <c r="B22" s="8">
        <v>7.2625698324022352</v>
      </c>
      <c r="C22" s="8">
        <v>39.52513966480447</v>
      </c>
      <c r="D22" s="8">
        <v>53.212290502793294</v>
      </c>
    </row>
    <row r="23" spans="1:4" x14ac:dyDescent="0.2">
      <c r="A23" s="7" t="s">
        <v>8322</v>
      </c>
      <c r="B23" s="8">
        <v>19.047619047619047</v>
      </c>
      <c r="C23" s="8">
        <v>52.380952380952387</v>
      </c>
      <c r="D23" s="8">
        <v>28.571428571428569</v>
      </c>
    </row>
    <row r="24" spans="1:4" x14ac:dyDescent="0.2">
      <c r="A24" s="7" t="s">
        <v>8321</v>
      </c>
      <c r="B24" s="8">
        <v>13.953488372093023</v>
      </c>
      <c r="C24" s="8">
        <v>37.209302325581397</v>
      </c>
      <c r="D24" s="8">
        <v>48.837209302325576</v>
      </c>
    </row>
    <row r="25" spans="1:4" x14ac:dyDescent="0.2">
      <c r="A25" s="7" t="s">
        <v>8320</v>
      </c>
      <c r="B25" s="8">
        <v>12.727272727272727</v>
      </c>
      <c r="C25" s="8">
        <v>40</v>
      </c>
      <c r="D25" s="8">
        <v>47.272727272727273</v>
      </c>
    </row>
    <row r="26" spans="1:4" x14ac:dyDescent="0.2">
      <c r="A26" s="7" t="s">
        <v>8319</v>
      </c>
      <c r="B26" s="8">
        <v>15.853658536585366</v>
      </c>
      <c r="C26" s="8">
        <v>45.121951219512198</v>
      </c>
      <c r="D26" s="8">
        <v>39.024390243902438</v>
      </c>
    </row>
    <row r="27" spans="1:4" x14ac:dyDescent="0.2">
      <c r="A27" s="7" t="s">
        <v>8323</v>
      </c>
      <c r="B27" s="8">
        <v>13.138686131386862</v>
      </c>
      <c r="C27" s="8">
        <v>46.715328467153284</v>
      </c>
      <c r="D27" s="8">
        <v>40.145985401459853</v>
      </c>
    </row>
    <row r="28" spans="1:4" x14ac:dyDescent="0.2">
      <c r="A28" s="7" t="s">
        <v>8318</v>
      </c>
      <c r="B28" s="8">
        <v>9.4594594594594597</v>
      </c>
      <c r="C28" s="8">
        <v>48.648648648648653</v>
      </c>
      <c r="D28" s="8">
        <v>41.891891891891895</v>
      </c>
    </row>
    <row r="29" spans="1:4" x14ac:dyDescent="0.2">
      <c r="A29" s="7" t="s">
        <v>8317</v>
      </c>
      <c r="B29" s="8">
        <v>8.4577114427860707</v>
      </c>
      <c r="C29" s="8">
        <v>44.776119402985074</v>
      </c>
      <c r="D29" s="8">
        <v>46.766169154228855</v>
      </c>
    </row>
    <row r="30" spans="1:4" x14ac:dyDescent="0.2">
      <c r="A30" s="7" t="s">
        <v>8316</v>
      </c>
      <c r="B30" s="8">
        <v>11.363636363636363</v>
      </c>
      <c r="C30" s="8">
        <v>40.909090909090914</v>
      </c>
      <c r="D30" s="8">
        <v>47.727272727272727</v>
      </c>
    </row>
    <row r="31" spans="1:4" x14ac:dyDescent="0.2">
      <c r="A31" s="7" t="s">
        <v>8314</v>
      </c>
      <c r="B31" s="8">
        <v>4.2492917847025495</v>
      </c>
      <c r="C31" s="8">
        <v>29.745042492917843</v>
      </c>
      <c r="D31" s="8">
        <v>66.005665722379604</v>
      </c>
    </row>
    <row r="32" spans="1:4" x14ac:dyDescent="0.2">
      <c r="A32" s="7" t="s">
        <v>8326</v>
      </c>
      <c r="B32" s="8">
        <v>3.9735099337748347</v>
      </c>
      <c r="C32" s="8">
        <v>24.944812362030905</v>
      </c>
      <c r="D32" s="8">
        <v>71.081677704194263</v>
      </c>
    </row>
    <row r="33" spans="1:4" x14ac:dyDescent="0.2">
      <c r="A33" s="7" t="s">
        <v>8335</v>
      </c>
      <c r="B33" s="8">
        <v>22.522522522522522</v>
      </c>
      <c r="C33" s="8">
        <v>58.108108108108105</v>
      </c>
      <c r="D33" s="8">
        <v>19.36936936936937</v>
      </c>
    </row>
    <row r="34" spans="1:4" x14ac:dyDescent="0.2">
      <c r="A34" s="7" t="s">
        <v>8328</v>
      </c>
      <c r="B34" s="8">
        <v>142.00942615424105</v>
      </c>
      <c r="C34" s="8">
        <v>508.08449598178521</v>
      </c>
      <c r="D34" s="8">
        <v>549.90607786397379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5E15-D5F5-1B48-BF9A-309C245A57FD}">
  <sheetPr codeName="Sheet3"/>
  <dimension ref="A1:H13"/>
  <sheetViews>
    <sheetView topLeftCell="A4" workbookViewId="0">
      <selection activeCell="J21" sqref="J21"/>
    </sheetView>
  </sheetViews>
  <sheetFormatPr baseColWidth="10" defaultRowHeight="15" x14ac:dyDescent="0.2"/>
  <cols>
    <col min="1" max="1" width="16" customWidth="1"/>
    <col min="2" max="2" width="13.83203125" customWidth="1"/>
    <col min="6" max="6" width="11.6640625" bestFit="1" customWidth="1"/>
  </cols>
  <sheetData>
    <row r="1" spans="1:8" s="3" customFormat="1" ht="32" x14ac:dyDescent="0.2">
      <c r="A1" s="3" t="s">
        <v>8306</v>
      </c>
      <c r="B1" s="3" t="s">
        <v>8307</v>
      </c>
      <c r="C1" s="3" t="s">
        <v>8308</v>
      </c>
      <c r="D1" s="3" t="s">
        <v>8309</v>
      </c>
      <c r="E1" s="3" t="s">
        <v>8310</v>
      </c>
      <c r="F1" s="3" t="s">
        <v>8311</v>
      </c>
      <c r="G1" s="3" t="s">
        <v>8312</v>
      </c>
      <c r="H1" s="3" t="s">
        <v>8313</v>
      </c>
    </row>
    <row r="2" spans="1:8" x14ac:dyDescent="0.2">
      <c r="A2" t="s">
        <v>8325</v>
      </c>
      <c r="B2">
        <f>COUNTIFS(Sheet1!F2:F5000, "successful", Sheet1!D2:D5000, "&lt;1000")</f>
        <v>322</v>
      </c>
      <c r="C2">
        <f>COUNTIFS(Sheet1!F2:F5000, "failed", Sheet1!D2:D5000, "&lt;1000")</f>
        <v>113</v>
      </c>
      <c r="D2">
        <f>COUNTIFS(Sheet1!F2:F5000, "canceled", Sheet1!D2:D5000, "&lt;1000")</f>
        <v>18</v>
      </c>
      <c r="E2">
        <f>SUM(B2,C2,D2)</f>
        <v>453</v>
      </c>
      <c r="F2" s="5">
        <f>(B2/E2)*100</f>
        <v>71.081677704194263</v>
      </c>
      <c r="G2" s="5">
        <f>(C2/E2)*100</f>
        <v>24.944812362030905</v>
      </c>
      <c r="H2" s="5">
        <f>(D2/E2)*100</f>
        <v>3.9735099337748347</v>
      </c>
    </row>
    <row r="3" spans="1:8" x14ac:dyDescent="0.2">
      <c r="A3" t="s">
        <v>8314</v>
      </c>
      <c r="B3">
        <f>COUNTIFS(Sheet1!F2:F5000,"successful",Sheet1!D2:D5000,"&gt;999",Sheet1!D2:D5000,"&lt;5000")</f>
        <v>932</v>
      </c>
      <c r="C3">
        <f>COUNTIFS(Sheet1!F2:F5000,"failed",Sheet1!D2:D5000,"&gt;999",Sheet1!D2:D5000,"&lt;5000")</f>
        <v>420</v>
      </c>
      <c r="D3">
        <f>COUNTIFS(Sheet1!F2:F5000,"canceled",Sheet1!D2:D5000,"&gt;999",Sheet1!D2:D5000,"&lt;5000")</f>
        <v>60</v>
      </c>
      <c r="E3">
        <f t="shared" ref="E3:E13" si="0">SUM(B3,C3,D3)</f>
        <v>1412</v>
      </c>
      <c r="F3" s="5">
        <f t="shared" ref="F3:F13" si="1">(B3/E3)*100</f>
        <v>66.005665722379604</v>
      </c>
      <c r="G3" s="5">
        <f t="shared" ref="G3:G13" si="2">(C3/E3)*100</f>
        <v>29.745042492917843</v>
      </c>
      <c r="H3" s="5">
        <f t="shared" ref="H3:H13" si="3">(D3/E3)*100</f>
        <v>4.2492917847025495</v>
      </c>
    </row>
    <row r="4" spans="1:8" x14ac:dyDescent="0.2">
      <c r="A4" t="s">
        <v>8315</v>
      </c>
      <c r="B4">
        <f>COUNTIFS(Sheet1!F2:F10000,"successful",Sheet1!D2:D10000,"&gt;4999",Sheet1!D2:D10000,"&lt;10000")</f>
        <v>381</v>
      </c>
      <c r="C4">
        <f>COUNTIFS(Sheet1!F2:F10000,"failed",Sheet1!D2:D10000,"&gt;4999",Sheet1!D2:D10000,"&lt;10000")</f>
        <v>283</v>
      </c>
      <c r="D4">
        <f>COUNTIFS(Sheet1!F2:F10000,"canceled",Sheet1!D2:D10000,"&gt;4999",Sheet1!D2:D10000,"&lt;10000")</f>
        <v>52</v>
      </c>
      <c r="E4">
        <f t="shared" si="0"/>
        <v>716</v>
      </c>
      <c r="F4" s="5">
        <f t="shared" si="1"/>
        <v>53.212290502793294</v>
      </c>
      <c r="G4" s="5">
        <f t="shared" si="2"/>
        <v>39.52513966480447</v>
      </c>
      <c r="H4" s="5">
        <f t="shared" si="3"/>
        <v>7.2625698324022352</v>
      </c>
    </row>
    <row r="5" spans="1:8" x14ac:dyDescent="0.2">
      <c r="A5" t="s">
        <v>8316</v>
      </c>
      <c r="B5">
        <f>COUNTIFS(Sheet1!F2:F10000,"successful",Sheet1!D2:D10000,"&gt;9999",Sheet1!D2:D10000,"&lt;15000")</f>
        <v>168</v>
      </c>
      <c r="C5">
        <f>COUNTIFS(Sheet1!F2:F10000,"failed",Sheet1!D2:D10000,"&gt;9999",Sheet1!D2:D10000,"&lt;15000")</f>
        <v>144</v>
      </c>
      <c r="D5">
        <f>COUNTIFS(Sheet1!F2:F10000,"canceled",Sheet1!D2:D10000,"&gt;9999",Sheet1!D2:D10000,"&lt;15000")</f>
        <v>40</v>
      </c>
      <c r="E5">
        <f t="shared" si="0"/>
        <v>352</v>
      </c>
      <c r="F5" s="5">
        <f t="shared" si="1"/>
        <v>47.727272727272727</v>
      </c>
      <c r="G5" s="5">
        <f t="shared" si="2"/>
        <v>40.909090909090914</v>
      </c>
      <c r="H5" s="5">
        <f t="shared" si="3"/>
        <v>11.363636363636363</v>
      </c>
    </row>
    <row r="6" spans="1:8" x14ac:dyDescent="0.2">
      <c r="A6" t="s">
        <v>8317</v>
      </c>
      <c r="B6">
        <f>COUNTIFS(Sheet1!F2:F10000,"successful",Sheet1!D2:D10000,"&gt;14999",Sheet1!D2:D10000,"&lt;20000")</f>
        <v>94</v>
      </c>
      <c r="C6">
        <f>COUNTIFS(Sheet1!F2:F10000,"failed",Sheet1!D2:D10000,"&gt;14999",Sheet1!D2:D10000,"&lt;20000")</f>
        <v>90</v>
      </c>
      <c r="D6">
        <f>COUNTIFS(Sheet1!F2:F10000,"canceled",Sheet1!D2:D10000,"&gt;14999",Sheet1!D2:D10000,"&lt;20000")</f>
        <v>17</v>
      </c>
      <c r="E6">
        <f t="shared" si="0"/>
        <v>201</v>
      </c>
      <c r="F6" s="5">
        <f t="shared" si="1"/>
        <v>46.766169154228855</v>
      </c>
      <c r="G6" s="5">
        <f t="shared" si="2"/>
        <v>44.776119402985074</v>
      </c>
      <c r="H6" s="5">
        <f t="shared" si="3"/>
        <v>8.4577114427860707</v>
      </c>
    </row>
    <row r="7" spans="1:8" x14ac:dyDescent="0.2">
      <c r="A7" t="s">
        <v>8318</v>
      </c>
      <c r="B7">
        <f>COUNTIFS(Sheet1!F2:F10000,"successful",Sheet1!D2:D10000,"&gt;19999",Sheet1!D2:D10000,"&lt;25000")</f>
        <v>62</v>
      </c>
      <c r="C7">
        <f>COUNTIFS(Sheet1!F2:F10000,"failed",Sheet1!D2:D10000,"&gt;19999",Sheet1!D2:D10000,"&lt;25000")</f>
        <v>72</v>
      </c>
      <c r="D7">
        <f>COUNTIFS(Sheet1!F2:F10000,"canceled",Sheet1!D2:D10000,"&gt;19999",Sheet1!D2:D10000,"&lt;25000")</f>
        <v>14</v>
      </c>
      <c r="E7">
        <f t="shared" si="0"/>
        <v>148</v>
      </c>
      <c r="F7" s="5">
        <f t="shared" si="1"/>
        <v>41.891891891891895</v>
      </c>
      <c r="G7" s="5">
        <f t="shared" si="2"/>
        <v>48.648648648648653</v>
      </c>
      <c r="H7" s="5">
        <f t="shared" si="3"/>
        <v>9.4594594594594597</v>
      </c>
    </row>
    <row r="8" spans="1:8" x14ac:dyDescent="0.2">
      <c r="A8" t="s">
        <v>8323</v>
      </c>
      <c r="B8">
        <f>COUNTIFS(Sheet1!F2:F10000,"successful",Sheet1!D2:D10000,"&gt;24999",Sheet1!D2:D10000,"&lt;30000")</f>
        <v>55</v>
      </c>
      <c r="C8">
        <f>COUNTIFS(Sheet1!F2:F10000,"failed",Sheet1!D2:D10000,"&gt;24999",Sheet1!D2:D10000,"&lt;30000")</f>
        <v>64</v>
      </c>
      <c r="D8">
        <f>COUNTIFS(Sheet1!F2:F10000,"canceled",Sheet1!D2:D10000,"&gt;24999",Sheet1!D2:D10000,"&lt;30000")</f>
        <v>18</v>
      </c>
      <c r="E8">
        <f t="shared" si="0"/>
        <v>137</v>
      </c>
      <c r="F8" s="5">
        <f t="shared" si="1"/>
        <v>40.145985401459853</v>
      </c>
      <c r="G8" s="5">
        <f t="shared" si="2"/>
        <v>46.715328467153284</v>
      </c>
      <c r="H8" s="5">
        <f t="shared" si="3"/>
        <v>13.138686131386862</v>
      </c>
    </row>
    <row r="9" spans="1:8" x14ac:dyDescent="0.2">
      <c r="A9" t="s">
        <v>8319</v>
      </c>
      <c r="B9">
        <f>COUNTIFS(Sheet1!F2:F10000,"successful",Sheet1!D2:D10000,"&gt;29999",Sheet1!D2:D10000,"&lt;35000")</f>
        <v>32</v>
      </c>
      <c r="C9">
        <f>COUNTIFS(Sheet1!F2:F10000,"failed",Sheet1!D2:D10000,"&gt;29999",Sheet1!D2:D10000,"&lt;35000")</f>
        <v>37</v>
      </c>
      <c r="D9">
        <f>COUNTIFS(Sheet1!F2:F10000,"canceled",Sheet1!D2:D10000,"&gt;29999",Sheet1!D2:D10000,"&lt;35000")</f>
        <v>13</v>
      </c>
      <c r="E9">
        <f t="shared" si="0"/>
        <v>82</v>
      </c>
      <c r="F9" s="5">
        <f t="shared" si="1"/>
        <v>39.024390243902438</v>
      </c>
      <c r="G9" s="5">
        <f t="shared" si="2"/>
        <v>45.121951219512198</v>
      </c>
      <c r="H9" s="5">
        <f t="shared" si="3"/>
        <v>15.853658536585366</v>
      </c>
    </row>
    <row r="10" spans="1:8" x14ac:dyDescent="0.2">
      <c r="A10" t="s">
        <v>8320</v>
      </c>
      <c r="B10">
        <f>COUNTIFS(Sheet1!F2:F10000,"successful",Sheet1!D2:D10000,"&gt;34999",Sheet1!D2:D10000,"&lt;40000")</f>
        <v>26</v>
      </c>
      <c r="C10">
        <f>COUNTIFS(Sheet1!F2:F10000,"failed",Sheet1!D2:D10000,"&gt;34999",Sheet1!D2:D10000,"&lt;40000")</f>
        <v>22</v>
      </c>
      <c r="D10">
        <f>COUNTIFS(Sheet1!F2:F10000,"canceled",Sheet1!D2:D10000,"&gt;34999",Sheet1!D2:D10000,"&lt;40000")</f>
        <v>7</v>
      </c>
      <c r="E10">
        <f t="shared" si="0"/>
        <v>55</v>
      </c>
      <c r="F10" s="5">
        <f t="shared" si="1"/>
        <v>47.272727272727273</v>
      </c>
      <c r="G10" s="5">
        <f t="shared" si="2"/>
        <v>40</v>
      </c>
      <c r="H10" s="5">
        <f t="shared" si="3"/>
        <v>12.727272727272727</v>
      </c>
    </row>
    <row r="11" spans="1:8" x14ac:dyDescent="0.2">
      <c r="A11" t="s">
        <v>8321</v>
      </c>
      <c r="B11">
        <f>COUNTIFS(Sheet1!F2:F10000,"successful",Sheet1!D2:D10000,"&gt;39999",Sheet1!D2:D10000,"&lt;45000")</f>
        <v>21</v>
      </c>
      <c r="C11">
        <f>COUNTIFS(Sheet1!F2:F10000,"failed",Sheet1!D2:D10000,"&gt;39999",Sheet1!D2:D10000,"&lt;45000")</f>
        <v>16</v>
      </c>
      <c r="D11">
        <f>COUNTIFS(Sheet1!F2:F10000,"canceled",Sheet1!D2:D10000,"&gt;39999",Sheet1!D2:D10000,"&lt;45000")</f>
        <v>6</v>
      </c>
      <c r="E11">
        <f t="shared" si="0"/>
        <v>43</v>
      </c>
      <c r="F11" s="5">
        <f t="shared" si="1"/>
        <v>48.837209302325576</v>
      </c>
      <c r="G11" s="5">
        <f t="shared" si="2"/>
        <v>37.209302325581397</v>
      </c>
      <c r="H11" s="5">
        <f t="shared" si="3"/>
        <v>13.953488372093023</v>
      </c>
    </row>
    <row r="12" spans="1:8" x14ac:dyDescent="0.2">
      <c r="A12" t="s">
        <v>8322</v>
      </c>
      <c r="B12">
        <f>COUNTIFS(Sheet1!F2:F10000,"successful",Sheet1!D2:D10000,"&gt;44999",Sheet1!D2:D10000,"&lt;50000")</f>
        <v>6</v>
      </c>
      <c r="C12">
        <f>COUNTIFS(Sheet1!F2:F10000,"failed",Sheet1!D2:D10000,"&gt;44999",Sheet1!D2:D10000,"&lt;50000")</f>
        <v>11</v>
      </c>
      <c r="D12">
        <f>COUNTIFS(Sheet1!F2:F10000,"canceled",Sheet1!D2:D10000,"&gt;44999",Sheet1!D2:D10000,"&lt;50000")</f>
        <v>4</v>
      </c>
      <c r="E12">
        <f t="shared" si="0"/>
        <v>21</v>
      </c>
      <c r="F12" s="5">
        <f t="shared" si="1"/>
        <v>28.571428571428569</v>
      </c>
      <c r="G12" s="5">
        <f t="shared" si="2"/>
        <v>52.380952380952387</v>
      </c>
      <c r="H12" s="5">
        <f t="shared" si="3"/>
        <v>19.047619047619047</v>
      </c>
    </row>
    <row r="13" spans="1:8" x14ac:dyDescent="0.2">
      <c r="A13" t="s">
        <v>8324</v>
      </c>
      <c r="B13">
        <f>COUNTIFS(Sheet1!F2:F10000,"successful",Sheet1!D2:D10000,"&gt;49999")</f>
        <v>86</v>
      </c>
      <c r="C13">
        <f>COUNTIFS(Sheet1!F2:F10000,"failed",Sheet1!D2:D10000,"&gt;49999")</f>
        <v>258</v>
      </c>
      <c r="D13">
        <f>COUNTIFS(Sheet1!F2:F10000,"canceled",Sheet1!D2:D10000,"&gt;49999")</f>
        <v>100</v>
      </c>
      <c r="E13">
        <f t="shared" si="0"/>
        <v>444</v>
      </c>
      <c r="F13" s="5">
        <f t="shared" si="1"/>
        <v>19.36936936936937</v>
      </c>
      <c r="G13" s="5">
        <f t="shared" si="2"/>
        <v>58.108108108108105</v>
      </c>
      <c r="H13" s="5">
        <f t="shared" si="3"/>
        <v>22.522522522522522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57EEF-7614-C34C-B915-E71AD308EC03}">
  <sheetPr codeName="Sheet4" filterMode="1"/>
  <dimension ref="A1:J4115"/>
  <sheetViews>
    <sheetView tabSelected="1" topLeftCell="C1" zoomScale="125" workbookViewId="0">
      <selection activeCell="H11" sqref="H11"/>
    </sheetView>
  </sheetViews>
  <sheetFormatPr baseColWidth="10" defaultRowHeight="15" x14ac:dyDescent="0.2"/>
  <cols>
    <col min="1" max="2" width="21.33203125" customWidth="1"/>
    <col min="3" max="3" width="24.5" customWidth="1"/>
    <col min="4" max="5" width="21.33203125" customWidth="1"/>
    <col min="6" max="6" width="24.5" customWidth="1"/>
    <col min="8" max="8" width="19.6640625" customWidth="1"/>
    <col min="9" max="9" width="14.6640625" customWidth="1"/>
  </cols>
  <sheetData>
    <row r="1" spans="1:10" ht="32" x14ac:dyDescent="0.2">
      <c r="A1" s="1"/>
      <c r="B1" s="1" t="s">
        <v>8218</v>
      </c>
      <c r="C1" s="1" t="s">
        <v>8262</v>
      </c>
      <c r="D1" s="1"/>
      <c r="E1" s="1" t="s">
        <v>8218</v>
      </c>
      <c r="F1" s="1" t="s">
        <v>8262</v>
      </c>
      <c r="I1" s="2" t="s">
        <v>8336</v>
      </c>
      <c r="J1" s="2" t="s">
        <v>8337</v>
      </c>
    </row>
    <row r="2" spans="1:10" x14ac:dyDescent="0.2">
      <c r="B2" t="s">
        <v>8219</v>
      </c>
      <c r="C2">
        <v>26457</v>
      </c>
      <c r="E2" t="s">
        <v>8221</v>
      </c>
      <c r="F2">
        <v>1293</v>
      </c>
      <c r="H2" t="s">
        <v>8338</v>
      </c>
      <c r="I2">
        <f>AVERAGE(C2:C5000)</f>
        <v>112.60233349538163</v>
      </c>
      <c r="J2">
        <f>AVERAGE(F2:F5000)</f>
        <v>17.709803921568628</v>
      </c>
    </row>
    <row r="3" spans="1:10" x14ac:dyDescent="0.2">
      <c r="B3" t="s">
        <v>8219</v>
      </c>
      <c r="C3">
        <v>20242</v>
      </c>
      <c r="E3" t="s">
        <v>8221</v>
      </c>
      <c r="F3">
        <v>975</v>
      </c>
      <c r="H3" t="s">
        <v>8339</v>
      </c>
      <c r="I3">
        <f>MEDIAN(C2:C5000)</f>
        <v>25</v>
      </c>
      <c r="J3">
        <f>MEDIAN(F2:F5000)</f>
        <v>4</v>
      </c>
    </row>
    <row r="4" spans="1:10" x14ac:dyDescent="0.2">
      <c r="B4" t="s">
        <v>8219</v>
      </c>
      <c r="C4">
        <v>8359</v>
      </c>
      <c r="E4" t="s">
        <v>8221</v>
      </c>
      <c r="F4">
        <v>890</v>
      </c>
      <c r="H4" t="s">
        <v>8340</v>
      </c>
      <c r="I4">
        <f>MAX(C2:C5000)</f>
        <v>26457</v>
      </c>
      <c r="J4">
        <f>MAX(F2:F5000)</f>
        <v>1293</v>
      </c>
    </row>
    <row r="5" spans="1:10" x14ac:dyDescent="0.2">
      <c r="B5" t="s">
        <v>8219</v>
      </c>
      <c r="C5">
        <v>8200</v>
      </c>
      <c r="E5" t="s">
        <v>8221</v>
      </c>
      <c r="F5">
        <v>534</v>
      </c>
      <c r="H5" t="s">
        <v>8341</v>
      </c>
      <c r="I5">
        <v>1</v>
      </c>
      <c r="J5">
        <v>0</v>
      </c>
    </row>
    <row r="6" spans="1:10" x14ac:dyDescent="0.2">
      <c r="B6" t="s">
        <v>8219</v>
      </c>
      <c r="C6">
        <v>5812</v>
      </c>
      <c r="E6" t="s">
        <v>8221</v>
      </c>
      <c r="F6">
        <v>456</v>
      </c>
      <c r="H6" t="s">
        <v>8342</v>
      </c>
      <c r="I6">
        <f>_xlfn.VAR.P(C2:C3842)</f>
        <v>415550.49910511432</v>
      </c>
      <c r="J6">
        <f>_xlfn.VAR.P(F2:F1531)</f>
        <v>3773.2216685890044</v>
      </c>
    </row>
    <row r="7" spans="1:10" x14ac:dyDescent="0.2">
      <c r="B7" t="s">
        <v>8219</v>
      </c>
      <c r="C7">
        <v>4883</v>
      </c>
      <c r="E7" t="s">
        <v>8221</v>
      </c>
      <c r="F7">
        <v>369</v>
      </c>
      <c r="H7" t="s">
        <v>8343</v>
      </c>
      <c r="I7">
        <f>_xlfn.STDEV.P(C2:C3842)</f>
        <v>644.63206490610935</v>
      </c>
      <c r="J7">
        <f>_xlfn.STDEV.P(F2:F1531)</f>
        <v>61.426555076684906</v>
      </c>
    </row>
    <row r="8" spans="1:10" x14ac:dyDescent="0.2">
      <c r="B8" t="s">
        <v>8219</v>
      </c>
      <c r="C8">
        <v>4562</v>
      </c>
      <c r="E8" t="s">
        <v>8221</v>
      </c>
      <c r="F8">
        <v>338</v>
      </c>
    </row>
    <row r="9" spans="1:10" x14ac:dyDescent="0.2">
      <c r="B9" t="s">
        <v>8219</v>
      </c>
      <c r="C9">
        <v>4330</v>
      </c>
      <c r="E9" t="s">
        <v>8221</v>
      </c>
      <c r="F9">
        <v>336</v>
      </c>
    </row>
    <row r="10" spans="1:10" x14ac:dyDescent="0.2">
      <c r="B10" t="s">
        <v>8219</v>
      </c>
      <c r="C10">
        <v>4245</v>
      </c>
      <c r="E10" t="s">
        <v>8221</v>
      </c>
      <c r="F10">
        <v>312</v>
      </c>
    </row>
    <row r="11" spans="1:10" x14ac:dyDescent="0.2">
      <c r="B11" t="s">
        <v>8219</v>
      </c>
      <c r="C11">
        <v>3863</v>
      </c>
      <c r="E11" t="s">
        <v>8221</v>
      </c>
      <c r="F11">
        <v>311</v>
      </c>
    </row>
    <row r="12" spans="1:10" x14ac:dyDescent="0.2">
      <c r="B12" t="s">
        <v>8219</v>
      </c>
      <c r="C12">
        <v>3663</v>
      </c>
      <c r="E12" t="s">
        <v>8221</v>
      </c>
      <c r="F12">
        <v>310</v>
      </c>
    </row>
    <row r="13" spans="1:10" x14ac:dyDescent="0.2">
      <c r="B13" t="s">
        <v>8219</v>
      </c>
      <c r="C13">
        <v>3562</v>
      </c>
      <c r="E13" t="s">
        <v>8221</v>
      </c>
      <c r="F13">
        <v>296</v>
      </c>
    </row>
    <row r="14" spans="1:10" x14ac:dyDescent="0.2">
      <c r="B14" t="s">
        <v>8219</v>
      </c>
      <c r="C14">
        <v>3468</v>
      </c>
      <c r="E14" t="s">
        <v>8221</v>
      </c>
      <c r="F14">
        <v>285</v>
      </c>
    </row>
    <row r="15" spans="1:10" x14ac:dyDescent="0.2">
      <c r="B15" t="s">
        <v>8219</v>
      </c>
      <c r="C15">
        <v>3355</v>
      </c>
      <c r="E15" t="s">
        <v>8221</v>
      </c>
      <c r="F15">
        <v>236</v>
      </c>
    </row>
    <row r="16" spans="1:10" x14ac:dyDescent="0.2">
      <c r="B16" t="s">
        <v>8219</v>
      </c>
      <c r="C16">
        <v>3238</v>
      </c>
      <c r="E16" t="s">
        <v>8221</v>
      </c>
      <c r="F16">
        <v>229</v>
      </c>
    </row>
    <row r="17" spans="2:6" x14ac:dyDescent="0.2">
      <c r="B17" t="s">
        <v>8219</v>
      </c>
      <c r="C17">
        <v>2602</v>
      </c>
      <c r="E17" t="s">
        <v>8221</v>
      </c>
      <c r="F17">
        <v>215</v>
      </c>
    </row>
    <row r="18" spans="2:6" x14ac:dyDescent="0.2">
      <c r="B18" t="s">
        <v>8219</v>
      </c>
      <c r="C18">
        <v>2525</v>
      </c>
      <c r="E18" t="s">
        <v>8221</v>
      </c>
      <c r="F18">
        <v>202</v>
      </c>
    </row>
    <row r="19" spans="2:6" x14ac:dyDescent="0.2">
      <c r="B19" t="s">
        <v>8219</v>
      </c>
      <c r="C19">
        <v>2478</v>
      </c>
      <c r="E19" t="s">
        <v>8221</v>
      </c>
      <c r="F19">
        <v>201</v>
      </c>
    </row>
    <row r="20" spans="2:6" x14ac:dyDescent="0.2">
      <c r="B20" t="s">
        <v>8219</v>
      </c>
      <c r="C20">
        <v>2436</v>
      </c>
      <c r="E20" t="s">
        <v>8221</v>
      </c>
      <c r="F20">
        <v>197</v>
      </c>
    </row>
    <row r="21" spans="2:6" x14ac:dyDescent="0.2">
      <c r="B21" t="s">
        <v>8219</v>
      </c>
      <c r="C21">
        <v>2174</v>
      </c>
      <c r="E21" t="s">
        <v>8221</v>
      </c>
      <c r="F21">
        <v>196</v>
      </c>
    </row>
    <row r="22" spans="2:6" x14ac:dyDescent="0.2">
      <c r="B22" t="s">
        <v>8219</v>
      </c>
      <c r="C22">
        <v>2165</v>
      </c>
      <c r="E22" t="s">
        <v>8221</v>
      </c>
      <c r="F22">
        <v>196</v>
      </c>
    </row>
    <row r="23" spans="2:6" x14ac:dyDescent="0.2">
      <c r="B23" t="s">
        <v>8219</v>
      </c>
      <c r="C23">
        <v>2139</v>
      </c>
      <c r="E23" t="s">
        <v>8221</v>
      </c>
      <c r="F23">
        <v>188</v>
      </c>
    </row>
    <row r="24" spans="2:6" x14ac:dyDescent="0.2">
      <c r="B24" t="s">
        <v>8219</v>
      </c>
      <c r="C24">
        <v>2051</v>
      </c>
      <c r="E24" t="s">
        <v>8221</v>
      </c>
      <c r="F24">
        <v>185</v>
      </c>
    </row>
    <row r="25" spans="2:6" x14ac:dyDescent="0.2">
      <c r="B25" t="s">
        <v>8219</v>
      </c>
      <c r="C25">
        <v>2035</v>
      </c>
      <c r="E25" t="s">
        <v>8221</v>
      </c>
      <c r="F25">
        <v>179</v>
      </c>
    </row>
    <row r="26" spans="2:6" x14ac:dyDescent="0.2">
      <c r="B26" t="s">
        <v>8219</v>
      </c>
      <c r="C26">
        <v>1980</v>
      </c>
      <c r="E26" t="s">
        <v>8221</v>
      </c>
      <c r="F26">
        <v>171</v>
      </c>
    </row>
    <row r="27" spans="2:6" x14ac:dyDescent="0.2">
      <c r="B27" t="s">
        <v>8219</v>
      </c>
      <c r="C27">
        <v>1945</v>
      </c>
      <c r="E27" t="s">
        <v>8221</v>
      </c>
      <c r="F27">
        <v>171</v>
      </c>
    </row>
    <row r="28" spans="2:6" x14ac:dyDescent="0.2">
      <c r="B28" t="s">
        <v>8219</v>
      </c>
      <c r="C28">
        <v>1887</v>
      </c>
      <c r="E28" t="s">
        <v>8221</v>
      </c>
      <c r="F28">
        <v>170</v>
      </c>
    </row>
    <row r="29" spans="2:6" x14ac:dyDescent="0.2">
      <c r="B29" t="s">
        <v>8219</v>
      </c>
      <c r="C29">
        <v>1876</v>
      </c>
      <c r="E29" t="s">
        <v>8221</v>
      </c>
      <c r="F29">
        <v>167</v>
      </c>
    </row>
    <row r="30" spans="2:6" x14ac:dyDescent="0.2">
      <c r="B30" t="s">
        <v>8219</v>
      </c>
      <c r="C30">
        <v>1789</v>
      </c>
      <c r="E30" t="s">
        <v>8221</v>
      </c>
      <c r="F30">
        <v>152</v>
      </c>
    </row>
    <row r="31" spans="2:6" x14ac:dyDescent="0.2">
      <c r="B31" t="s">
        <v>8219</v>
      </c>
      <c r="C31">
        <v>1780</v>
      </c>
      <c r="E31" t="s">
        <v>8221</v>
      </c>
      <c r="F31">
        <v>148</v>
      </c>
    </row>
    <row r="32" spans="2:6" x14ac:dyDescent="0.2">
      <c r="B32" t="s">
        <v>8219</v>
      </c>
      <c r="C32">
        <v>1762</v>
      </c>
      <c r="E32" t="s">
        <v>8221</v>
      </c>
      <c r="F32">
        <v>147</v>
      </c>
    </row>
    <row r="33" spans="2:6" x14ac:dyDescent="0.2">
      <c r="B33" t="s">
        <v>8219</v>
      </c>
      <c r="C33">
        <v>1737</v>
      </c>
      <c r="E33" t="s">
        <v>8221</v>
      </c>
      <c r="F33">
        <v>147</v>
      </c>
    </row>
    <row r="34" spans="2:6" x14ac:dyDescent="0.2">
      <c r="B34" t="s">
        <v>8219</v>
      </c>
      <c r="C34">
        <v>1670</v>
      </c>
      <c r="E34" t="s">
        <v>8221</v>
      </c>
      <c r="F34">
        <v>140</v>
      </c>
    </row>
    <row r="35" spans="2:6" x14ac:dyDescent="0.2">
      <c r="B35" t="s">
        <v>8219</v>
      </c>
      <c r="C35">
        <v>1637</v>
      </c>
      <c r="E35" t="s">
        <v>8221</v>
      </c>
      <c r="F35">
        <v>140</v>
      </c>
    </row>
    <row r="36" spans="2:6" x14ac:dyDescent="0.2">
      <c r="B36" t="s">
        <v>8219</v>
      </c>
      <c r="C36">
        <v>1633</v>
      </c>
      <c r="E36" t="s">
        <v>8221</v>
      </c>
      <c r="F36">
        <v>140</v>
      </c>
    </row>
    <row r="37" spans="2:6" x14ac:dyDescent="0.2">
      <c r="B37" t="s">
        <v>8219</v>
      </c>
      <c r="C37">
        <v>1596</v>
      </c>
      <c r="E37" t="s">
        <v>8221</v>
      </c>
      <c r="F37">
        <v>139</v>
      </c>
    </row>
    <row r="38" spans="2:6" x14ac:dyDescent="0.2">
      <c r="B38" t="s">
        <v>8219</v>
      </c>
      <c r="C38">
        <v>1556</v>
      </c>
      <c r="E38" t="s">
        <v>8221</v>
      </c>
      <c r="F38">
        <v>135</v>
      </c>
    </row>
    <row r="39" spans="2:6" x14ac:dyDescent="0.2">
      <c r="B39" t="s">
        <v>8219</v>
      </c>
      <c r="C39">
        <v>1530</v>
      </c>
      <c r="E39" t="s">
        <v>8221</v>
      </c>
      <c r="F39">
        <v>129</v>
      </c>
    </row>
    <row r="40" spans="2:6" x14ac:dyDescent="0.2">
      <c r="B40" t="s">
        <v>8219</v>
      </c>
      <c r="C40">
        <v>1513</v>
      </c>
      <c r="E40" t="s">
        <v>8221</v>
      </c>
      <c r="F40">
        <v>125</v>
      </c>
    </row>
    <row r="41" spans="2:6" x14ac:dyDescent="0.2">
      <c r="B41" t="s">
        <v>8219</v>
      </c>
      <c r="C41">
        <v>1510</v>
      </c>
      <c r="E41" t="s">
        <v>8221</v>
      </c>
      <c r="F41">
        <v>124</v>
      </c>
    </row>
    <row r="42" spans="2:6" x14ac:dyDescent="0.2">
      <c r="B42" t="s">
        <v>8219</v>
      </c>
      <c r="C42">
        <v>1420</v>
      </c>
      <c r="E42" t="s">
        <v>8221</v>
      </c>
      <c r="F42">
        <v>124</v>
      </c>
    </row>
    <row r="43" spans="2:6" x14ac:dyDescent="0.2">
      <c r="B43" t="s">
        <v>8219</v>
      </c>
      <c r="C43">
        <v>1375</v>
      </c>
      <c r="E43" t="s">
        <v>8221</v>
      </c>
      <c r="F43">
        <v>123</v>
      </c>
    </row>
    <row r="44" spans="2:6" x14ac:dyDescent="0.2">
      <c r="B44" t="s">
        <v>8219</v>
      </c>
      <c r="C44">
        <v>1373</v>
      </c>
      <c r="E44" t="s">
        <v>8221</v>
      </c>
      <c r="F44">
        <v>123</v>
      </c>
    </row>
    <row r="45" spans="2:6" x14ac:dyDescent="0.2">
      <c r="B45" t="s">
        <v>8219</v>
      </c>
      <c r="C45">
        <v>1364</v>
      </c>
      <c r="E45" t="s">
        <v>8221</v>
      </c>
      <c r="F45">
        <v>122</v>
      </c>
    </row>
    <row r="46" spans="2:6" x14ac:dyDescent="0.2">
      <c r="B46" t="s">
        <v>8219</v>
      </c>
      <c r="C46">
        <v>1356</v>
      </c>
      <c r="E46" t="s">
        <v>8221</v>
      </c>
      <c r="F46">
        <v>121</v>
      </c>
    </row>
    <row r="47" spans="2:6" x14ac:dyDescent="0.2">
      <c r="B47" t="s">
        <v>8219</v>
      </c>
      <c r="C47">
        <v>1328</v>
      </c>
      <c r="E47" t="s">
        <v>8221</v>
      </c>
      <c r="F47">
        <v>118</v>
      </c>
    </row>
    <row r="48" spans="2:6" x14ac:dyDescent="0.2">
      <c r="B48" t="s">
        <v>8219</v>
      </c>
      <c r="C48">
        <v>1281</v>
      </c>
      <c r="E48" t="s">
        <v>8221</v>
      </c>
      <c r="F48">
        <v>117</v>
      </c>
    </row>
    <row r="49" spans="2:6" x14ac:dyDescent="0.2">
      <c r="B49" t="s">
        <v>8219</v>
      </c>
      <c r="C49">
        <v>1260</v>
      </c>
      <c r="E49" t="s">
        <v>8221</v>
      </c>
      <c r="F49">
        <v>114</v>
      </c>
    </row>
    <row r="50" spans="2:6" x14ac:dyDescent="0.2">
      <c r="B50" t="s">
        <v>8219</v>
      </c>
      <c r="C50">
        <v>1251</v>
      </c>
      <c r="E50" t="s">
        <v>8221</v>
      </c>
      <c r="F50">
        <v>114</v>
      </c>
    </row>
    <row r="51" spans="2:6" x14ac:dyDescent="0.2">
      <c r="B51" t="s">
        <v>8219</v>
      </c>
      <c r="C51">
        <v>1224</v>
      </c>
      <c r="E51" t="s">
        <v>8221</v>
      </c>
      <c r="F51">
        <v>113</v>
      </c>
    </row>
    <row r="52" spans="2:6" x14ac:dyDescent="0.2">
      <c r="B52" t="s">
        <v>8219</v>
      </c>
      <c r="C52">
        <v>1204</v>
      </c>
      <c r="E52" t="s">
        <v>8221</v>
      </c>
      <c r="F52">
        <v>110</v>
      </c>
    </row>
    <row r="53" spans="2:6" x14ac:dyDescent="0.2">
      <c r="B53" t="s">
        <v>8219</v>
      </c>
      <c r="C53">
        <v>1151</v>
      </c>
      <c r="E53" t="s">
        <v>8221</v>
      </c>
      <c r="F53">
        <v>108</v>
      </c>
    </row>
    <row r="54" spans="2:6" x14ac:dyDescent="0.2">
      <c r="B54" t="s">
        <v>8219</v>
      </c>
      <c r="C54">
        <v>1113</v>
      </c>
      <c r="E54" t="s">
        <v>8221</v>
      </c>
      <c r="F54">
        <v>105</v>
      </c>
    </row>
    <row r="55" spans="2:6" x14ac:dyDescent="0.2">
      <c r="B55" t="s">
        <v>8219</v>
      </c>
      <c r="C55">
        <v>1107</v>
      </c>
      <c r="E55" t="s">
        <v>8221</v>
      </c>
      <c r="F55">
        <v>103</v>
      </c>
    </row>
    <row r="56" spans="2:6" x14ac:dyDescent="0.2">
      <c r="B56" t="s">
        <v>8219</v>
      </c>
      <c r="C56">
        <v>1104</v>
      </c>
      <c r="E56" t="s">
        <v>8221</v>
      </c>
      <c r="F56">
        <v>100</v>
      </c>
    </row>
    <row r="57" spans="2:6" x14ac:dyDescent="0.2">
      <c r="B57" t="s">
        <v>8219</v>
      </c>
      <c r="C57">
        <v>1095</v>
      </c>
      <c r="E57" t="s">
        <v>8221</v>
      </c>
      <c r="F57">
        <v>99</v>
      </c>
    </row>
    <row r="58" spans="2:6" x14ac:dyDescent="0.2">
      <c r="B58" t="s">
        <v>8219</v>
      </c>
      <c r="C58">
        <v>1088</v>
      </c>
      <c r="E58" t="s">
        <v>8221</v>
      </c>
      <c r="F58">
        <v>99</v>
      </c>
    </row>
    <row r="59" spans="2:6" x14ac:dyDescent="0.2">
      <c r="B59" t="s">
        <v>8219</v>
      </c>
      <c r="C59">
        <v>1071</v>
      </c>
      <c r="E59" t="s">
        <v>8221</v>
      </c>
      <c r="F59">
        <v>98</v>
      </c>
    </row>
    <row r="60" spans="2:6" x14ac:dyDescent="0.2">
      <c r="B60" t="s">
        <v>8219</v>
      </c>
      <c r="C60">
        <v>1062</v>
      </c>
      <c r="E60" t="s">
        <v>8221</v>
      </c>
      <c r="F60">
        <v>96</v>
      </c>
    </row>
    <row r="61" spans="2:6" x14ac:dyDescent="0.2">
      <c r="B61" t="s">
        <v>8219</v>
      </c>
      <c r="C61">
        <v>1049</v>
      </c>
      <c r="E61" t="s">
        <v>8221</v>
      </c>
      <c r="F61">
        <v>96</v>
      </c>
    </row>
    <row r="62" spans="2:6" x14ac:dyDescent="0.2">
      <c r="B62" t="s">
        <v>8219</v>
      </c>
      <c r="C62">
        <v>1021</v>
      </c>
      <c r="E62" t="s">
        <v>8221</v>
      </c>
      <c r="F62">
        <v>96</v>
      </c>
    </row>
    <row r="63" spans="2:6" x14ac:dyDescent="0.2">
      <c r="B63" t="s">
        <v>8219</v>
      </c>
      <c r="C63">
        <v>1019</v>
      </c>
      <c r="E63" t="s">
        <v>8221</v>
      </c>
      <c r="F63">
        <v>96</v>
      </c>
    </row>
    <row r="64" spans="2:6" x14ac:dyDescent="0.2">
      <c r="B64" t="s">
        <v>8219</v>
      </c>
      <c r="C64">
        <v>1013</v>
      </c>
      <c r="E64" t="s">
        <v>8221</v>
      </c>
      <c r="F64">
        <v>95</v>
      </c>
    </row>
    <row r="65" spans="2:6" x14ac:dyDescent="0.2">
      <c r="B65" t="s">
        <v>8219</v>
      </c>
      <c r="C65">
        <v>988</v>
      </c>
      <c r="E65" t="s">
        <v>8221</v>
      </c>
      <c r="F65">
        <v>94</v>
      </c>
    </row>
    <row r="66" spans="2:6" x14ac:dyDescent="0.2">
      <c r="B66" t="s">
        <v>8219</v>
      </c>
      <c r="C66">
        <v>983</v>
      </c>
      <c r="E66" t="s">
        <v>8221</v>
      </c>
      <c r="F66">
        <v>94</v>
      </c>
    </row>
    <row r="67" spans="2:6" x14ac:dyDescent="0.2">
      <c r="B67" t="s">
        <v>8219</v>
      </c>
      <c r="C67">
        <v>971</v>
      </c>
      <c r="E67" t="s">
        <v>8221</v>
      </c>
      <c r="F67">
        <v>94</v>
      </c>
    </row>
    <row r="68" spans="2:6" x14ac:dyDescent="0.2">
      <c r="B68" t="s">
        <v>8219</v>
      </c>
      <c r="C68">
        <v>964</v>
      </c>
      <c r="E68" t="s">
        <v>8221</v>
      </c>
      <c r="F68">
        <v>93</v>
      </c>
    </row>
    <row r="69" spans="2:6" x14ac:dyDescent="0.2">
      <c r="B69" t="s">
        <v>8219</v>
      </c>
      <c r="C69">
        <v>963</v>
      </c>
      <c r="E69" t="s">
        <v>8221</v>
      </c>
      <c r="F69">
        <v>92</v>
      </c>
    </row>
    <row r="70" spans="2:6" x14ac:dyDescent="0.2">
      <c r="B70" t="s">
        <v>8219</v>
      </c>
      <c r="C70">
        <v>951</v>
      </c>
      <c r="E70" t="s">
        <v>8221</v>
      </c>
      <c r="F70">
        <v>92</v>
      </c>
    </row>
    <row r="71" spans="2:6" x14ac:dyDescent="0.2">
      <c r="B71" t="s">
        <v>8219</v>
      </c>
      <c r="C71">
        <v>944</v>
      </c>
      <c r="E71" t="s">
        <v>8221</v>
      </c>
      <c r="F71">
        <v>91</v>
      </c>
    </row>
    <row r="72" spans="2:6" x14ac:dyDescent="0.2">
      <c r="B72" t="s">
        <v>8219</v>
      </c>
      <c r="C72">
        <v>943</v>
      </c>
      <c r="E72" t="s">
        <v>8221</v>
      </c>
      <c r="F72">
        <v>90</v>
      </c>
    </row>
    <row r="73" spans="2:6" x14ac:dyDescent="0.2">
      <c r="B73" t="s">
        <v>8219</v>
      </c>
      <c r="C73">
        <v>942</v>
      </c>
      <c r="E73" t="s">
        <v>8221</v>
      </c>
      <c r="F73">
        <v>89</v>
      </c>
    </row>
    <row r="74" spans="2:6" x14ac:dyDescent="0.2">
      <c r="B74" t="s">
        <v>8219</v>
      </c>
      <c r="C74">
        <v>930</v>
      </c>
      <c r="E74" t="s">
        <v>8221</v>
      </c>
      <c r="F74">
        <v>86</v>
      </c>
    </row>
    <row r="75" spans="2:6" x14ac:dyDescent="0.2">
      <c r="B75" t="s">
        <v>8219</v>
      </c>
      <c r="C75">
        <v>916</v>
      </c>
      <c r="E75" t="s">
        <v>8221</v>
      </c>
      <c r="F75">
        <v>85</v>
      </c>
    </row>
    <row r="76" spans="2:6" x14ac:dyDescent="0.2">
      <c r="B76" t="s">
        <v>8219</v>
      </c>
      <c r="C76">
        <v>902</v>
      </c>
      <c r="E76" t="s">
        <v>8221</v>
      </c>
      <c r="F76">
        <v>84</v>
      </c>
    </row>
    <row r="77" spans="2:6" x14ac:dyDescent="0.2">
      <c r="B77" t="s">
        <v>8219</v>
      </c>
      <c r="C77">
        <v>897</v>
      </c>
      <c r="E77" t="s">
        <v>8221</v>
      </c>
      <c r="F77">
        <v>84</v>
      </c>
    </row>
    <row r="78" spans="2:6" x14ac:dyDescent="0.2">
      <c r="B78" t="s">
        <v>8219</v>
      </c>
      <c r="C78">
        <v>885</v>
      </c>
      <c r="E78" t="s">
        <v>8221</v>
      </c>
      <c r="F78">
        <v>84</v>
      </c>
    </row>
    <row r="79" spans="2:6" x14ac:dyDescent="0.2">
      <c r="B79" t="s">
        <v>8219</v>
      </c>
      <c r="C79">
        <v>878</v>
      </c>
      <c r="E79" t="s">
        <v>8221</v>
      </c>
      <c r="F79">
        <v>83</v>
      </c>
    </row>
    <row r="80" spans="2:6" x14ac:dyDescent="0.2">
      <c r="B80" t="s">
        <v>8219</v>
      </c>
      <c r="C80">
        <v>874</v>
      </c>
      <c r="E80" t="s">
        <v>8221</v>
      </c>
      <c r="F80">
        <v>81</v>
      </c>
    </row>
    <row r="81" spans="2:6" x14ac:dyDescent="0.2">
      <c r="B81" t="s">
        <v>8219</v>
      </c>
      <c r="C81">
        <v>859</v>
      </c>
      <c r="E81" t="s">
        <v>8221</v>
      </c>
      <c r="F81">
        <v>81</v>
      </c>
    </row>
    <row r="82" spans="2:6" x14ac:dyDescent="0.2">
      <c r="B82" t="s">
        <v>8219</v>
      </c>
      <c r="C82">
        <v>848</v>
      </c>
      <c r="E82" t="s">
        <v>8221</v>
      </c>
      <c r="F82">
        <v>79</v>
      </c>
    </row>
    <row r="83" spans="2:6" x14ac:dyDescent="0.2">
      <c r="B83" t="s">
        <v>8219</v>
      </c>
      <c r="C83">
        <v>834</v>
      </c>
      <c r="E83" t="s">
        <v>8221</v>
      </c>
      <c r="F83">
        <v>76</v>
      </c>
    </row>
    <row r="84" spans="2:6" x14ac:dyDescent="0.2">
      <c r="B84" t="s">
        <v>8219</v>
      </c>
      <c r="C84">
        <v>827</v>
      </c>
      <c r="E84" t="s">
        <v>8221</v>
      </c>
      <c r="F84">
        <v>76</v>
      </c>
    </row>
    <row r="85" spans="2:6" x14ac:dyDescent="0.2">
      <c r="B85" t="s">
        <v>8219</v>
      </c>
      <c r="C85">
        <v>821</v>
      </c>
      <c r="E85" t="s">
        <v>8221</v>
      </c>
      <c r="F85">
        <v>76</v>
      </c>
    </row>
    <row r="86" spans="2:6" x14ac:dyDescent="0.2">
      <c r="B86" t="s">
        <v>8219</v>
      </c>
      <c r="C86">
        <v>813</v>
      </c>
      <c r="E86" t="s">
        <v>8221</v>
      </c>
      <c r="F86">
        <v>75</v>
      </c>
    </row>
    <row r="87" spans="2:6" x14ac:dyDescent="0.2">
      <c r="B87" t="s">
        <v>8219</v>
      </c>
      <c r="C87">
        <v>760</v>
      </c>
      <c r="E87" t="s">
        <v>8221</v>
      </c>
      <c r="F87">
        <v>73</v>
      </c>
    </row>
    <row r="88" spans="2:6" x14ac:dyDescent="0.2">
      <c r="B88" t="s">
        <v>8219</v>
      </c>
      <c r="C88">
        <v>742</v>
      </c>
      <c r="E88" t="s">
        <v>8221</v>
      </c>
      <c r="F88">
        <v>72</v>
      </c>
    </row>
    <row r="89" spans="2:6" x14ac:dyDescent="0.2">
      <c r="B89" t="s">
        <v>8219</v>
      </c>
      <c r="C89">
        <v>740</v>
      </c>
      <c r="E89" t="s">
        <v>8221</v>
      </c>
      <c r="F89">
        <v>72</v>
      </c>
    </row>
    <row r="90" spans="2:6" x14ac:dyDescent="0.2">
      <c r="B90" t="s">
        <v>8219</v>
      </c>
      <c r="C90">
        <v>736</v>
      </c>
      <c r="E90" t="s">
        <v>8221</v>
      </c>
      <c r="F90">
        <v>70</v>
      </c>
    </row>
    <row r="91" spans="2:6" x14ac:dyDescent="0.2">
      <c r="B91" t="s">
        <v>8219</v>
      </c>
      <c r="C91">
        <v>729</v>
      </c>
      <c r="E91" t="s">
        <v>8221</v>
      </c>
      <c r="F91">
        <v>70</v>
      </c>
    </row>
    <row r="92" spans="2:6" x14ac:dyDescent="0.2">
      <c r="B92" t="s">
        <v>8219</v>
      </c>
      <c r="C92">
        <v>721</v>
      </c>
      <c r="E92" t="s">
        <v>8221</v>
      </c>
      <c r="F92">
        <v>68</v>
      </c>
    </row>
    <row r="93" spans="2:6" x14ac:dyDescent="0.2">
      <c r="B93" t="s">
        <v>8219</v>
      </c>
      <c r="C93">
        <v>714</v>
      </c>
      <c r="E93" t="s">
        <v>8221</v>
      </c>
      <c r="F93">
        <v>67</v>
      </c>
    </row>
    <row r="94" spans="2:6" x14ac:dyDescent="0.2">
      <c r="B94" t="s">
        <v>8219</v>
      </c>
      <c r="C94">
        <v>711</v>
      </c>
      <c r="E94" t="s">
        <v>8221</v>
      </c>
      <c r="F94">
        <v>66</v>
      </c>
    </row>
    <row r="95" spans="2:6" x14ac:dyDescent="0.2">
      <c r="B95" t="s">
        <v>8219</v>
      </c>
      <c r="C95">
        <v>707</v>
      </c>
      <c r="E95" t="s">
        <v>8221</v>
      </c>
      <c r="F95">
        <v>60</v>
      </c>
    </row>
    <row r="96" spans="2:6" x14ac:dyDescent="0.2">
      <c r="B96" t="s">
        <v>8219</v>
      </c>
      <c r="C96">
        <v>701</v>
      </c>
      <c r="E96" t="s">
        <v>8221</v>
      </c>
      <c r="F96">
        <v>60</v>
      </c>
    </row>
    <row r="97" spans="2:6" x14ac:dyDescent="0.2">
      <c r="B97" t="s">
        <v>8219</v>
      </c>
      <c r="C97">
        <v>688</v>
      </c>
      <c r="E97" t="s">
        <v>8221</v>
      </c>
      <c r="F97">
        <v>59</v>
      </c>
    </row>
    <row r="98" spans="2:6" x14ac:dyDescent="0.2">
      <c r="B98" t="s">
        <v>8219</v>
      </c>
      <c r="C98">
        <v>682</v>
      </c>
      <c r="E98" t="s">
        <v>8221</v>
      </c>
      <c r="F98">
        <v>57</v>
      </c>
    </row>
    <row r="99" spans="2:6" x14ac:dyDescent="0.2">
      <c r="B99" t="s">
        <v>8219</v>
      </c>
      <c r="C99">
        <v>682</v>
      </c>
      <c r="E99" t="s">
        <v>8221</v>
      </c>
      <c r="F99">
        <v>57</v>
      </c>
    </row>
    <row r="100" spans="2:6" x14ac:dyDescent="0.2">
      <c r="B100" t="s">
        <v>8219</v>
      </c>
      <c r="C100">
        <v>680</v>
      </c>
      <c r="E100" t="s">
        <v>8221</v>
      </c>
      <c r="F100">
        <v>56</v>
      </c>
    </row>
    <row r="101" spans="2:6" x14ac:dyDescent="0.2">
      <c r="B101" t="s">
        <v>8219</v>
      </c>
      <c r="C101">
        <v>680</v>
      </c>
      <c r="E101" t="s">
        <v>8221</v>
      </c>
      <c r="F101">
        <v>55</v>
      </c>
    </row>
    <row r="102" spans="2:6" x14ac:dyDescent="0.2">
      <c r="B102" t="s">
        <v>8219</v>
      </c>
      <c r="C102">
        <v>676</v>
      </c>
      <c r="E102" t="s">
        <v>8221</v>
      </c>
      <c r="F102">
        <v>55</v>
      </c>
    </row>
    <row r="103" spans="2:6" x14ac:dyDescent="0.2">
      <c r="B103" t="s">
        <v>8219</v>
      </c>
      <c r="C103">
        <v>670</v>
      </c>
      <c r="E103" t="s">
        <v>8221</v>
      </c>
      <c r="F103">
        <v>53</v>
      </c>
    </row>
    <row r="104" spans="2:6" x14ac:dyDescent="0.2">
      <c r="B104" t="s">
        <v>8219</v>
      </c>
      <c r="C104">
        <v>666</v>
      </c>
      <c r="E104" t="s">
        <v>8221</v>
      </c>
      <c r="F104">
        <v>53</v>
      </c>
    </row>
    <row r="105" spans="2:6" x14ac:dyDescent="0.2">
      <c r="B105" t="s">
        <v>8219</v>
      </c>
      <c r="C105">
        <v>665</v>
      </c>
      <c r="E105" t="s">
        <v>8221</v>
      </c>
      <c r="F105">
        <v>52</v>
      </c>
    </row>
    <row r="106" spans="2:6" x14ac:dyDescent="0.2">
      <c r="B106" t="s">
        <v>8219</v>
      </c>
      <c r="C106">
        <v>660</v>
      </c>
      <c r="E106" t="s">
        <v>8221</v>
      </c>
      <c r="F106">
        <v>52</v>
      </c>
    </row>
    <row r="107" spans="2:6" x14ac:dyDescent="0.2">
      <c r="B107" t="s">
        <v>8219</v>
      </c>
      <c r="C107">
        <v>651</v>
      </c>
      <c r="E107" t="s">
        <v>8221</v>
      </c>
      <c r="F107">
        <v>52</v>
      </c>
    </row>
    <row r="108" spans="2:6" x14ac:dyDescent="0.2">
      <c r="B108" t="s">
        <v>8219</v>
      </c>
      <c r="C108">
        <v>644</v>
      </c>
      <c r="E108" t="s">
        <v>8221</v>
      </c>
      <c r="F108">
        <v>50</v>
      </c>
    </row>
    <row r="109" spans="2:6" x14ac:dyDescent="0.2">
      <c r="B109" t="s">
        <v>8219</v>
      </c>
      <c r="C109">
        <v>635</v>
      </c>
      <c r="E109" t="s">
        <v>8221</v>
      </c>
      <c r="F109">
        <v>50</v>
      </c>
    </row>
    <row r="110" spans="2:6" x14ac:dyDescent="0.2">
      <c r="B110" t="s">
        <v>8219</v>
      </c>
      <c r="C110">
        <v>625</v>
      </c>
      <c r="E110" t="s">
        <v>8221</v>
      </c>
      <c r="F110">
        <v>49</v>
      </c>
    </row>
    <row r="111" spans="2:6" x14ac:dyDescent="0.2">
      <c r="B111" t="s">
        <v>8219</v>
      </c>
      <c r="C111">
        <v>623</v>
      </c>
      <c r="E111" t="s">
        <v>8221</v>
      </c>
      <c r="F111">
        <v>49</v>
      </c>
    </row>
    <row r="112" spans="2:6" x14ac:dyDescent="0.2">
      <c r="B112" t="s">
        <v>8219</v>
      </c>
      <c r="C112">
        <v>621</v>
      </c>
      <c r="E112" t="s">
        <v>8221</v>
      </c>
      <c r="F112">
        <v>49</v>
      </c>
    </row>
    <row r="113" spans="2:6" x14ac:dyDescent="0.2">
      <c r="B113" t="s">
        <v>8219</v>
      </c>
      <c r="C113">
        <v>615</v>
      </c>
      <c r="E113" t="s">
        <v>8221</v>
      </c>
      <c r="F113">
        <v>48</v>
      </c>
    </row>
    <row r="114" spans="2:6" x14ac:dyDescent="0.2">
      <c r="B114" t="s">
        <v>8219</v>
      </c>
      <c r="C114">
        <v>614</v>
      </c>
      <c r="E114" t="s">
        <v>8221</v>
      </c>
      <c r="F114">
        <v>48</v>
      </c>
    </row>
    <row r="115" spans="2:6" x14ac:dyDescent="0.2">
      <c r="B115" t="s">
        <v>8219</v>
      </c>
      <c r="C115">
        <v>613</v>
      </c>
      <c r="E115" t="s">
        <v>8221</v>
      </c>
      <c r="F115">
        <v>47</v>
      </c>
    </row>
    <row r="116" spans="2:6" x14ac:dyDescent="0.2">
      <c r="B116" t="s">
        <v>8219</v>
      </c>
      <c r="C116">
        <v>607</v>
      </c>
      <c r="E116" t="s">
        <v>8221</v>
      </c>
      <c r="F116">
        <v>47</v>
      </c>
    </row>
    <row r="117" spans="2:6" x14ac:dyDescent="0.2">
      <c r="B117" t="s">
        <v>8219</v>
      </c>
      <c r="C117">
        <v>600</v>
      </c>
      <c r="E117" t="s">
        <v>8221</v>
      </c>
      <c r="F117">
        <v>46</v>
      </c>
    </row>
    <row r="118" spans="2:6" x14ac:dyDescent="0.2">
      <c r="B118" t="s">
        <v>8219</v>
      </c>
      <c r="C118">
        <v>577</v>
      </c>
      <c r="E118" t="s">
        <v>8221</v>
      </c>
      <c r="F118">
        <v>45</v>
      </c>
    </row>
    <row r="119" spans="2:6" x14ac:dyDescent="0.2">
      <c r="B119" t="s">
        <v>8219</v>
      </c>
      <c r="C119">
        <v>576</v>
      </c>
      <c r="E119" t="s">
        <v>8221</v>
      </c>
      <c r="F119">
        <v>45</v>
      </c>
    </row>
    <row r="120" spans="2:6" x14ac:dyDescent="0.2">
      <c r="B120" t="s">
        <v>8219</v>
      </c>
      <c r="C120">
        <v>574</v>
      </c>
      <c r="E120" t="s">
        <v>8221</v>
      </c>
      <c r="F120">
        <v>45</v>
      </c>
    </row>
    <row r="121" spans="2:6" x14ac:dyDescent="0.2">
      <c r="B121" t="s">
        <v>8219</v>
      </c>
      <c r="C121">
        <v>571</v>
      </c>
      <c r="E121" t="s">
        <v>8221</v>
      </c>
      <c r="F121">
        <v>44</v>
      </c>
    </row>
    <row r="122" spans="2:6" hidden="1" x14ac:dyDescent="0.2">
      <c r="B122" t="s">
        <v>8220</v>
      </c>
      <c r="C122">
        <v>1</v>
      </c>
      <c r="E122" t="s">
        <v>8221</v>
      </c>
      <c r="F122">
        <v>43</v>
      </c>
    </row>
    <row r="123" spans="2:6" hidden="1" x14ac:dyDescent="0.2">
      <c r="B123" t="s">
        <v>8220</v>
      </c>
      <c r="C123">
        <v>1</v>
      </c>
      <c r="E123" t="s">
        <v>8221</v>
      </c>
      <c r="F123">
        <v>42</v>
      </c>
    </row>
    <row r="124" spans="2:6" hidden="1" x14ac:dyDescent="0.2">
      <c r="B124" t="s">
        <v>8220</v>
      </c>
      <c r="C124">
        <v>0</v>
      </c>
      <c r="E124" t="s">
        <v>8221</v>
      </c>
      <c r="F124">
        <v>42</v>
      </c>
    </row>
    <row r="125" spans="2:6" hidden="1" x14ac:dyDescent="0.2">
      <c r="B125" t="s">
        <v>8220</v>
      </c>
      <c r="C125">
        <v>6</v>
      </c>
      <c r="E125" t="s">
        <v>8221</v>
      </c>
      <c r="F125">
        <v>41</v>
      </c>
    </row>
    <row r="126" spans="2:6" hidden="1" x14ac:dyDescent="0.2">
      <c r="B126" t="s">
        <v>8220</v>
      </c>
      <c r="C126">
        <v>0</v>
      </c>
      <c r="E126" t="s">
        <v>8221</v>
      </c>
      <c r="F126">
        <v>41</v>
      </c>
    </row>
    <row r="127" spans="2:6" hidden="1" x14ac:dyDescent="0.2">
      <c r="B127" t="s">
        <v>8220</v>
      </c>
      <c r="C127">
        <v>6</v>
      </c>
      <c r="E127" t="s">
        <v>8221</v>
      </c>
      <c r="F127">
        <v>41</v>
      </c>
    </row>
    <row r="128" spans="2:6" hidden="1" x14ac:dyDescent="0.2">
      <c r="B128" t="s">
        <v>8220</v>
      </c>
      <c r="C128">
        <v>13</v>
      </c>
      <c r="E128" t="s">
        <v>8221</v>
      </c>
      <c r="F128">
        <v>40</v>
      </c>
    </row>
    <row r="129" spans="2:6" hidden="1" x14ac:dyDescent="0.2">
      <c r="B129" t="s">
        <v>8220</v>
      </c>
      <c r="C129">
        <v>4</v>
      </c>
      <c r="E129" t="s">
        <v>8221</v>
      </c>
      <c r="F129">
        <v>40</v>
      </c>
    </row>
    <row r="130" spans="2:6" hidden="1" x14ac:dyDescent="0.2">
      <c r="B130" t="s">
        <v>8220</v>
      </c>
      <c r="C130">
        <v>6</v>
      </c>
      <c r="E130" t="s">
        <v>8221</v>
      </c>
      <c r="F130">
        <v>40</v>
      </c>
    </row>
    <row r="131" spans="2:6" hidden="1" x14ac:dyDescent="0.2">
      <c r="B131" t="s">
        <v>8220</v>
      </c>
      <c r="C131">
        <v>0</v>
      </c>
      <c r="E131" t="s">
        <v>8221</v>
      </c>
      <c r="F131">
        <v>39</v>
      </c>
    </row>
    <row r="132" spans="2:6" hidden="1" x14ac:dyDescent="0.2">
      <c r="B132" t="s">
        <v>8220</v>
      </c>
      <c r="C132">
        <v>0</v>
      </c>
      <c r="E132" t="s">
        <v>8221</v>
      </c>
      <c r="F132">
        <v>39</v>
      </c>
    </row>
    <row r="133" spans="2:6" hidden="1" x14ac:dyDescent="0.2">
      <c r="B133" t="s">
        <v>8220</v>
      </c>
      <c r="C133">
        <v>0</v>
      </c>
      <c r="E133" t="s">
        <v>8221</v>
      </c>
      <c r="F133">
        <v>39</v>
      </c>
    </row>
    <row r="134" spans="2:6" hidden="1" x14ac:dyDescent="0.2">
      <c r="B134" t="s">
        <v>8220</v>
      </c>
      <c r="C134">
        <v>81</v>
      </c>
      <c r="E134" t="s">
        <v>8221</v>
      </c>
      <c r="F134">
        <v>39</v>
      </c>
    </row>
    <row r="135" spans="2:6" hidden="1" x14ac:dyDescent="0.2">
      <c r="B135" t="s">
        <v>8220</v>
      </c>
      <c r="C135">
        <v>0</v>
      </c>
      <c r="E135" t="s">
        <v>8221</v>
      </c>
      <c r="F135">
        <v>39</v>
      </c>
    </row>
    <row r="136" spans="2:6" hidden="1" x14ac:dyDescent="0.2">
      <c r="B136" t="s">
        <v>8220</v>
      </c>
      <c r="C136">
        <v>0</v>
      </c>
      <c r="E136" t="s">
        <v>8221</v>
      </c>
      <c r="F136">
        <v>39</v>
      </c>
    </row>
    <row r="137" spans="2:6" hidden="1" x14ac:dyDescent="0.2">
      <c r="B137" t="s">
        <v>8220</v>
      </c>
      <c r="C137">
        <v>5</v>
      </c>
      <c r="E137" t="s">
        <v>8221</v>
      </c>
      <c r="F137">
        <v>38</v>
      </c>
    </row>
    <row r="138" spans="2:6" hidden="1" x14ac:dyDescent="0.2">
      <c r="B138" t="s">
        <v>8220</v>
      </c>
      <c r="C138">
        <v>0</v>
      </c>
      <c r="E138" t="s">
        <v>8221</v>
      </c>
      <c r="F138">
        <v>38</v>
      </c>
    </row>
    <row r="139" spans="2:6" hidden="1" x14ac:dyDescent="0.2">
      <c r="B139" t="s">
        <v>8220</v>
      </c>
      <c r="C139">
        <v>0</v>
      </c>
      <c r="E139" t="s">
        <v>8221</v>
      </c>
      <c r="F139">
        <v>38</v>
      </c>
    </row>
    <row r="140" spans="2:6" hidden="1" x14ac:dyDescent="0.2">
      <c r="B140" t="s">
        <v>8220</v>
      </c>
      <c r="C140">
        <v>58</v>
      </c>
      <c r="E140" t="s">
        <v>8221</v>
      </c>
      <c r="F140">
        <v>38</v>
      </c>
    </row>
    <row r="141" spans="2:6" hidden="1" x14ac:dyDescent="0.2">
      <c r="B141" t="s">
        <v>8220</v>
      </c>
      <c r="C141">
        <v>1</v>
      </c>
      <c r="E141" t="s">
        <v>8221</v>
      </c>
      <c r="F141">
        <v>38</v>
      </c>
    </row>
    <row r="142" spans="2:6" hidden="1" x14ac:dyDescent="0.2">
      <c r="B142" t="s">
        <v>8220</v>
      </c>
      <c r="C142">
        <v>0</v>
      </c>
      <c r="E142" t="s">
        <v>8221</v>
      </c>
      <c r="F142">
        <v>37</v>
      </c>
    </row>
    <row r="143" spans="2:6" hidden="1" x14ac:dyDescent="0.2">
      <c r="B143" t="s">
        <v>8220</v>
      </c>
      <c r="C143">
        <v>28</v>
      </c>
      <c r="E143" t="s">
        <v>8221</v>
      </c>
      <c r="F143">
        <v>37</v>
      </c>
    </row>
    <row r="144" spans="2:6" hidden="1" x14ac:dyDescent="0.2">
      <c r="B144" t="s">
        <v>8220</v>
      </c>
      <c r="C144">
        <v>1</v>
      </c>
      <c r="E144" t="s">
        <v>8221</v>
      </c>
      <c r="F144">
        <v>37</v>
      </c>
    </row>
    <row r="145" spans="2:6" hidden="1" x14ac:dyDescent="0.2">
      <c r="B145" t="s">
        <v>8220</v>
      </c>
      <c r="C145">
        <v>0</v>
      </c>
      <c r="E145" t="s">
        <v>8221</v>
      </c>
      <c r="F145">
        <v>37</v>
      </c>
    </row>
    <row r="146" spans="2:6" hidden="1" x14ac:dyDescent="0.2">
      <c r="B146" t="s">
        <v>8220</v>
      </c>
      <c r="C146">
        <v>37</v>
      </c>
      <c r="E146" t="s">
        <v>8221</v>
      </c>
      <c r="F146">
        <v>37</v>
      </c>
    </row>
    <row r="147" spans="2:6" hidden="1" x14ac:dyDescent="0.2">
      <c r="B147" t="s">
        <v>8220</v>
      </c>
      <c r="C147">
        <v>9</v>
      </c>
      <c r="E147" t="s">
        <v>8221</v>
      </c>
      <c r="F147">
        <v>37</v>
      </c>
    </row>
    <row r="148" spans="2:6" hidden="1" x14ac:dyDescent="0.2">
      <c r="B148" t="s">
        <v>8220</v>
      </c>
      <c r="C148">
        <v>3</v>
      </c>
      <c r="E148" t="s">
        <v>8221</v>
      </c>
      <c r="F148">
        <v>37</v>
      </c>
    </row>
    <row r="149" spans="2:6" hidden="1" x14ac:dyDescent="0.2">
      <c r="B149" t="s">
        <v>8220</v>
      </c>
      <c r="C149">
        <v>0</v>
      </c>
      <c r="E149" t="s">
        <v>8221</v>
      </c>
      <c r="F149">
        <v>37</v>
      </c>
    </row>
    <row r="150" spans="2:6" hidden="1" x14ac:dyDescent="0.2">
      <c r="B150" t="s">
        <v>8220</v>
      </c>
      <c r="C150">
        <v>2</v>
      </c>
      <c r="E150" t="s">
        <v>8221</v>
      </c>
      <c r="F150">
        <v>36</v>
      </c>
    </row>
    <row r="151" spans="2:6" hidden="1" x14ac:dyDescent="0.2">
      <c r="B151" t="s">
        <v>8220</v>
      </c>
      <c r="C151">
        <v>6</v>
      </c>
      <c r="E151" t="s">
        <v>8221</v>
      </c>
      <c r="F151">
        <v>36</v>
      </c>
    </row>
    <row r="152" spans="2:6" hidden="1" x14ac:dyDescent="0.2">
      <c r="B152" t="s">
        <v>8220</v>
      </c>
      <c r="C152">
        <v>67</v>
      </c>
      <c r="E152" t="s">
        <v>8221</v>
      </c>
      <c r="F152">
        <v>36</v>
      </c>
    </row>
    <row r="153" spans="2:6" hidden="1" x14ac:dyDescent="0.2">
      <c r="B153" t="s">
        <v>8220</v>
      </c>
      <c r="C153">
        <v>5</v>
      </c>
      <c r="E153" t="s">
        <v>8221</v>
      </c>
      <c r="F153">
        <v>36</v>
      </c>
    </row>
    <row r="154" spans="2:6" hidden="1" x14ac:dyDescent="0.2">
      <c r="B154" t="s">
        <v>8220</v>
      </c>
      <c r="C154">
        <v>2</v>
      </c>
      <c r="E154" t="s">
        <v>8221</v>
      </c>
      <c r="F154">
        <v>36</v>
      </c>
    </row>
    <row r="155" spans="2:6" hidden="1" x14ac:dyDescent="0.2">
      <c r="B155" t="s">
        <v>8220</v>
      </c>
      <c r="C155">
        <v>10</v>
      </c>
      <c r="E155" t="s">
        <v>8221</v>
      </c>
      <c r="F155">
        <v>35</v>
      </c>
    </row>
    <row r="156" spans="2:6" hidden="1" x14ac:dyDescent="0.2">
      <c r="B156" t="s">
        <v>8220</v>
      </c>
      <c r="C156">
        <v>3</v>
      </c>
      <c r="E156" t="s">
        <v>8221</v>
      </c>
      <c r="F156">
        <v>34</v>
      </c>
    </row>
    <row r="157" spans="2:6" hidden="1" x14ac:dyDescent="0.2">
      <c r="B157" t="s">
        <v>8220</v>
      </c>
      <c r="C157">
        <v>4</v>
      </c>
      <c r="E157" t="s">
        <v>8221</v>
      </c>
      <c r="F157">
        <v>34</v>
      </c>
    </row>
    <row r="158" spans="2:6" hidden="1" x14ac:dyDescent="0.2">
      <c r="B158" t="s">
        <v>8220</v>
      </c>
      <c r="C158">
        <v>15</v>
      </c>
      <c r="E158" t="s">
        <v>8221</v>
      </c>
      <c r="F158">
        <v>34</v>
      </c>
    </row>
    <row r="159" spans="2:6" hidden="1" x14ac:dyDescent="0.2">
      <c r="B159" t="s">
        <v>8220</v>
      </c>
      <c r="C159">
        <v>2</v>
      </c>
      <c r="E159" t="s">
        <v>8221</v>
      </c>
      <c r="F159">
        <v>34</v>
      </c>
    </row>
    <row r="160" spans="2:6" hidden="1" x14ac:dyDescent="0.2">
      <c r="B160" t="s">
        <v>8220</v>
      </c>
      <c r="C160">
        <v>0</v>
      </c>
      <c r="E160" t="s">
        <v>8221</v>
      </c>
      <c r="F160">
        <v>34</v>
      </c>
    </row>
    <row r="161" spans="2:6" hidden="1" x14ac:dyDescent="0.2">
      <c r="B161" t="s">
        <v>8220</v>
      </c>
      <c r="C161">
        <v>1</v>
      </c>
      <c r="E161" t="s">
        <v>8221</v>
      </c>
      <c r="F161">
        <v>33</v>
      </c>
    </row>
    <row r="162" spans="2:6" hidden="1" x14ac:dyDescent="0.2">
      <c r="B162" t="s">
        <v>8221</v>
      </c>
      <c r="C162">
        <v>0</v>
      </c>
      <c r="E162" t="s">
        <v>8221</v>
      </c>
      <c r="F162">
        <v>33</v>
      </c>
    </row>
    <row r="163" spans="2:6" hidden="1" x14ac:dyDescent="0.2">
      <c r="B163" t="s">
        <v>8221</v>
      </c>
      <c r="C163">
        <v>1</v>
      </c>
      <c r="E163" t="s">
        <v>8221</v>
      </c>
      <c r="F163">
        <v>33</v>
      </c>
    </row>
    <row r="164" spans="2:6" hidden="1" x14ac:dyDescent="0.2">
      <c r="B164" t="s">
        <v>8221</v>
      </c>
      <c r="C164">
        <v>10</v>
      </c>
      <c r="E164" t="s">
        <v>8221</v>
      </c>
      <c r="F164">
        <v>33</v>
      </c>
    </row>
    <row r="165" spans="2:6" hidden="1" x14ac:dyDescent="0.2">
      <c r="B165" t="s">
        <v>8221</v>
      </c>
      <c r="C165">
        <v>0</v>
      </c>
      <c r="E165" t="s">
        <v>8221</v>
      </c>
      <c r="F165">
        <v>33</v>
      </c>
    </row>
    <row r="166" spans="2:6" hidden="1" x14ac:dyDescent="0.2">
      <c r="B166" t="s">
        <v>8221</v>
      </c>
      <c r="C166">
        <v>7</v>
      </c>
      <c r="E166" t="s">
        <v>8221</v>
      </c>
      <c r="F166">
        <v>33</v>
      </c>
    </row>
    <row r="167" spans="2:6" hidden="1" x14ac:dyDescent="0.2">
      <c r="B167" t="s">
        <v>8221</v>
      </c>
      <c r="C167">
        <v>0</v>
      </c>
      <c r="E167" t="s">
        <v>8221</v>
      </c>
      <c r="F167">
        <v>33</v>
      </c>
    </row>
    <row r="168" spans="2:6" hidden="1" x14ac:dyDescent="0.2">
      <c r="B168" t="s">
        <v>8221</v>
      </c>
      <c r="C168">
        <v>1</v>
      </c>
      <c r="E168" t="s">
        <v>8221</v>
      </c>
      <c r="F168">
        <v>32</v>
      </c>
    </row>
    <row r="169" spans="2:6" hidden="1" x14ac:dyDescent="0.2">
      <c r="B169" t="s">
        <v>8221</v>
      </c>
      <c r="C169">
        <v>2</v>
      </c>
      <c r="E169" t="s">
        <v>8221</v>
      </c>
      <c r="F169">
        <v>32</v>
      </c>
    </row>
    <row r="170" spans="2:6" hidden="1" x14ac:dyDescent="0.2">
      <c r="B170" t="s">
        <v>8221</v>
      </c>
      <c r="C170">
        <v>3</v>
      </c>
      <c r="E170" t="s">
        <v>8221</v>
      </c>
      <c r="F170">
        <v>32</v>
      </c>
    </row>
    <row r="171" spans="2:6" hidden="1" x14ac:dyDescent="0.2">
      <c r="B171" t="s">
        <v>8221</v>
      </c>
      <c r="C171">
        <v>10</v>
      </c>
      <c r="E171" t="s">
        <v>8221</v>
      </c>
      <c r="F171">
        <v>31</v>
      </c>
    </row>
    <row r="172" spans="2:6" hidden="1" x14ac:dyDescent="0.2">
      <c r="B172" t="s">
        <v>8221</v>
      </c>
      <c r="C172">
        <v>10</v>
      </c>
      <c r="E172" t="s">
        <v>8221</v>
      </c>
      <c r="F172">
        <v>31</v>
      </c>
    </row>
    <row r="173" spans="2:6" hidden="1" x14ac:dyDescent="0.2">
      <c r="B173" t="s">
        <v>8221</v>
      </c>
      <c r="C173">
        <v>1</v>
      </c>
      <c r="E173" t="s">
        <v>8221</v>
      </c>
      <c r="F173">
        <v>31</v>
      </c>
    </row>
    <row r="174" spans="2:6" hidden="1" x14ac:dyDescent="0.2">
      <c r="B174" t="s">
        <v>8221</v>
      </c>
      <c r="C174">
        <v>0</v>
      </c>
      <c r="E174" t="s">
        <v>8221</v>
      </c>
      <c r="F174">
        <v>31</v>
      </c>
    </row>
    <row r="175" spans="2:6" hidden="1" x14ac:dyDescent="0.2">
      <c r="B175" t="s">
        <v>8221</v>
      </c>
      <c r="C175">
        <v>0</v>
      </c>
      <c r="E175" t="s">
        <v>8221</v>
      </c>
      <c r="F175">
        <v>31</v>
      </c>
    </row>
    <row r="176" spans="2:6" hidden="1" x14ac:dyDescent="0.2">
      <c r="B176" t="s">
        <v>8221</v>
      </c>
      <c r="C176">
        <v>0</v>
      </c>
      <c r="E176" t="s">
        <v>8221</v>
      </c>
      <c r="F176">
        <v>31</v>
      </c>
    </row>
    <row r="177" spans="2:6" hidden="1" x14ac:dyDescent="0.2">
      <c r="B177" t="s">
        <v>8221</v>
      </c>
      <c r="C177">
        <v>26</v>
      </c>
      <c r="E177" t="s">
        <v>8221</v>
      </c>
      <c r="F177">
        <v>31</v>
      </c>
    </row>
    <row r="178" spans="2:6" hidden="1" x14ac:dyDescent="0.2">
      <c r="B178" t="s">
        <v>8221</v>
      </c>
      <c r="C178">
        <v>0</v>
      </c>
      <c r="E178" t="s">
        <v>8221</v>
      </c>
      <c r="F178">
        <v>30</v>
      </c>
    </row>
    <row r="179" spans="2:6" hidden="1" x14ac:dyDescent="0.2">
      <c r="B179" t="s">
        <v>8221</v>
      </c>
      <c r="C179">
        <v>7</v>
      </c>
      <c r="E179" t="s">
        <v>8221</v>
      </c>
      <c r="F179">
        <v>30</v>
      </c>
    </row>
    <row r="180" spans="2:6" hidden="1" x14ac:dyDescent="0.2">
      <c r="B180" t="s">
        <v>8221</v>
      </c>
      <c r="C180">
        <v>0</v>
      </c>
      <c r="E180" t="s">
        <v>8221</v>
      </c>
      <c r="F180">
        <v>30</v>
      </c>
    </row>
    <row r="181" spans="2:6" hidden="1" x14ac:dyDescent="0.2">
      <c r="B181" t="s">
        <v>8221</v>
      </c>
      <c r="C181">
        <v>2</v>
      </c>
      <c r="E181" t="s">
        <v>8221</v>
      </c>
      <c r="F181">
        <v>30</v>
      </c>
    </row>
    <row r="182" spans="2:6" hidden="1" x14ac:dyDescent="0.2">
      <c r="B182" t="s">
        <v>8221</v>
      </c>
      <c r="C182">
        <v>13</v>
      </c>
      <c r="E182" t="s">
        <v>8221</v>
      </c>
      <c r="F182">
        <v>30</v>
      </c>
    </row>
    <row r="183" spans="2:6" hidden="1" x14ac:dyDescent="0.2">
      <c r="B183" t="s">
        <v>8221</v>
      </c>
      <c r="C183">
        <v>4</v>
      </c>
      <c r="E183" t="s">
        <v>8221</v>
      </c>
      <c r="F183">
        <v>30</v>
      </c>
    </row>
    <row r="184" spans="2:6" hidden="1" x14ac:dyDescent="0.2">
      <c r="B184" t="s">
        <v>8221</v>
      </c>
      <c r="C184">
        <v>0</v>
      </c>
      <c r="E184" t="s">
        <v>8221</v>
      </c>
      <c r="F184">
        <v>30</v>
      </c>
    </row>
    <row r="185" spans="2:6" hidden="1" x14ac:dyDescent="0.2">
      <c r="B185" t="s">
        <v>8221</v>
      </c>
      <c r="C185">
        <v>12</v>
      </c>
      <c r="E185" t="s">
        <v>8221</v>
      </c>
      <c r="F185">
        <v>29</v>
      </c>
    </row>
    <row r="186" spans="2:6" hidden="1" x14ac:dyDescent="0.2">
      <c r="B186" t="s">
        <v>8221</v>
      </c>
      <c r="C186">
        <v>2</v>
      </c>
      <c r="E186" t="s">
        <v>8221</v>
      </c>
      <c r="F186">
        <v>29</v>
      </c>
    </row>
    <row r="187" spans="2:6" hidden="1" x14ac:dyDescent="0.2">
      <c r="B187" t="s">
        <v>8221</v>
      </c>
      <c r="C187">
        <v>10</v>
      </c>
      <c r="E187" t="s">
        <v>8221</v>
      </c>
      <c r="F187">
        <v>29</v>
      </c>
    </row>
    <row r="188" spans="2:6" hidden="1" x14ac:dyDescent="0.2">
      <c r="B188" t="s">
        <v>8221</v>
      </c>
      <c r="C188">
        <v>0</v>
      </c>
      <c r="E188" t="s">
        <v>8221</v>
      </c>
      <c r="F188">
        <v>29</v>
      </c>
    </row>
    <row r="189" spans="2:6" hidden="1" x14ac:dyDescent="0.2">
      <c r="B189" t="s">
        <v>8221</v>
      </c>
      <c r="C189">
        <v>5</v>
      </c>
      <c r="E189" t="s">
        <v>8221</v>
      </c>
      <c r="F189">
        <v>29</v>
      </c>
    </row>
    <row r="190" spans="2:6" hidden="1" x14ac:dyDescent="0.2">
      <c r="B190" t="s">
        <v>8221</v>
      </c>
      <c r="C190">
        <v>0</v>
      </c>
      <c r="E190" t="s">
        <v>8221</v>
      </c>
      <c r="F190">
        <v>29</v>
      </c>
    </row>
    <row r="191" spans="2:6" hidden="1" x14ac:dyDescent="0.2">
      <c r="B191" t="s">
        <v>8221</v>
      </c>
      <c r="C191">
        <v>5</v>
      </c>
      <c r="E191" t="s">
        <v>8221</v>
      </c>
      <c r="F191">
        <v>29</v>
      </c>
    </row>
    <row r="192" spans="2:6" hidden="1" x14ac:dyDescent="0.2">
      <c r="B192" t="s">
        <v>8221</v>
      </c>
      <c r="C192">
        <v>1</v>
      </c>
      <c r="E192" t="s">
        <v>8221</v>
      </c>
      <c r="F192">
        <v>29</v>
      </c>
    </row>
    <row r="193" spans="2:6" hidden="1" x14ac:dyDescent="0.2">
      <c r="B193" t="s">
        <v>8221</v>
      </c>
      <c r="C193">
        <v>3</v>
      </c>
      <c r="E193" t="s">
        <v>8221</v>
      </c>
      <c r="F193">
        <v>29</v>
      </c>
    </row>
    <row r="194" spans="2:6" hidden="1" x14ac:dyDescent="0.2">
      <c r="B194" t="s">
        <v>8221</v>
      </c>
      <c r="C194">
        <v>3</v>
      </c>
      <c r="E194" t="s">
        <v>8221</v>
      </c>
      <c r="F194">
        <v>28</v>
      </c>
    </row>
    <row r="195" spans="2:6" hidden="1" x14ac:dyDescent="0.2">
      <c r="B195" t="s">
        <v>8221</v>
      </c>
      <c r="C195">
        <v>0</v>
      </c>
      <c r="E195" t="s">
        <v>8221</v>
      </c>
      <c r="F195">
        <v>28</v>
      </c>
    </row>
    <row r="196" spans="2:6" hidden="1" x14ac:dyDescent="0.2">
      <c r="B196" t="s">
        <v>8221</v>
      </c>
      <c r="C196">
        <v>3</v>
      </c>
      <c r="E196" t="s">
        <v>8221</v>
      </c>
      <c r="F196">
        <v>28</v>
      </c>
    </row>
    <row r="197" spans="2:6" hidden="1" x14ac:dyDescent="0.2">
      <c r="B197" t="s">
        <v>8221</v>
      </c>
      <c r="C197">
        <v>0</v>
      </c>
      <c r="E197" t="s">
        <v>8221</v>
      </c>
      <c r="F197">
        <v>28</v>
      </c>
    </row>
    <row r="198" spans="2:6" hidden="1" x14ac:dyDescent="0.2">
      <c r="B198" t="s">
        <v>8221</v>
      </c>
      <c r="C198">
        <v>19</v>
      </c>
      <c r="E198" t="s">
        <v>8221</v>
      </c>
      <c r="F198">
        <v>28</v>
      </c>
    </row>
    <row r="199" spans="2:6" hidden="1" x14ac:dyDescent="0.2">
      <c r="B199" t="s">
        <v>8221</v>
      </c>
      <c r="C199">
        <v>8</v>
      </c>
      <c r="E199" t="s">
        <v>8221</v>
      </c>
      <c r="F199">
        <v>28</v>
      </c>
    </row>
    <row r="200" spans="2:6" hidden="1" x14ac:dyDescent="0.2">
      <c r="B200" t="s">
        <v>8221</v>
      </c>
      <c r="C200">
        <v>6</v>
      </c>
      <c r="E200" t="s">
        <v>8221</v>
      </c>
      <c r="F200">
        <v>28</v>
      </c>
    </row>
    <row r="201" spans="2:6" hidden="1" x14ac:dyDescent="0.2">
      <c r="B201" t="s">
        <v>8221</v>
      </c>
      <c r="C201">
        <v>0</v>
      </c>
      <c r="E201" t="s">
        <v>8221</v>
      </c>
      <c r="F201">
        <v>28</v>
      </c>
    </row>
    <row r="202" spans="2:6" hidden="1" x14ac:dyDescent="0.2">
      <c r="B202" t="s">
        <v>8221</v>
      </c>
      <c r="C202">
        <v>18</v>
      </c>
      <c r="E202" t="s">
        <v>8221</v>
      </c>
      <c r="F202">
        <v>27</v>
      </c>
    </row>
    <row r="203" spans="2:6" hidden="1" x14ac:dyDescent="0.2">
      <c r="B203" t="s">
        <v>8221</v>
      </c>
      <c r="C203">
        <v>7</v>
      </c>
      <c r="E203" t="s">
        <v>8221</v>
      </c>
      <c r="F203">
        <v>27</v>
      </c>
    </row>
    <row r="204" spans="2:6" hidden="1" x14ac:dyDescent="0.2">
      <c r="B204" t="s">
        <v>8221</v>
      </c>
      <c r="C204">
        <v>0</v>
      </c>
      <c r="E204" t="s">
        <v>8221</v>
      </c>
      <c r="F204">
        <v>27</v>
      </c>
    </row>
    <row r="205" spans="2:6" hidden="1" x14ac:dyDescent="0.2">
      <c r="B205" t="s">
        <v>8221</v>
      </c>
      <c r="C205">
        <v>8</v>
      </c>
      <c r="E205" t="s">
        <v>8221</v>
      </c>
      <c r="F205">
        <v>27</v>
      </c>
    </row>
    <row r="206" spans="2:6" hidden="1" x14ac:dyDescent="0.2">
      <c r="B206" t="s">
        <v>8221</v>
      </c>
      <c r="C206">
        <v>1293</v>
      </c>
      <c r="E206" t="s">
        <v>8221</v>
      </c>
      <c r="F206">
        <v>27</v>
      </c>
    </row>
    <row r="207" spans="2:6" hidden="1" x14ac:dyDescent="0.2">
      <c r="B207" t="s">
        <v>8221</v>
      </c>
      <c r="C207">
        <v>17</v>
      </c>
      <c r="E207" t="s">
        <v>8221</v>
      </c>
      <c r="F207">
        <v>27</v>
      </c>
    </row>
    <row r="208" spans="2:6" hidden="1" x14ac:dyDescent="0.2">
      <c r="B208" t="s">
        <v>8221</v>
      </c>
      <c r="C208">
        <v>0</v>
      </c>
      <c r="E208" t="s">
        <v>8221</v>
      </c>
      <c r="F208">
        <v>27</v>
      </c>
    </row>
    <row r="209" spans="2:6" hidden="1" x14ac:dyDescent="0.2">
      <c r="B209" t="s">
        <v>8221</v>
      </c>
      <c r="C209">
        <v>13</v>
      </c>
      <c r="E209" t="s">
        <v>8221</v>
      </c>
      <c r="F209">
        <v>26</v>
      </c>
    </row>
    <row r="210" spans="2:6" hidden="1" x14ac:dyDescent="0.2">
      <c r="B210" t="s">
        <v>8221</v>
      </c>
      <c r="C210">
        <v>0</v>
      </c>
      <c r="E210" t="s">
        <v>8221</v>
      </c>
      <c r="F210">
        <v>26</v>
      </c>
    </row>
    <row r="211" spans="2:6" hidden="1" x14ac:dyDescent="0.2">
      <c r="B211" t="s">
        <v>8221</v>
      </c>
      <c r="C211">
        <v>0</v>
      </c>
      <c r="E211" t="s">
        <v>8221</v>
      </c>
      <c r="F211">
        <v>26</v>
      </c>
    </row>
    <row r="212" spans="2:6" hidden="1" x14ac:dyDescent="0.2">
      <c r="B212" t="s">
        <v>8221</v>
      </c>
      <c r="C212">
        <v>33</v>
      </c>
      <c r="E212" t="s">
        <v>8221</v>
      </c>
      <c r="F212">
        <v>26</v>
      </c>
    </row>
    <row r="213" spans="2:6" hidden="1" x14ac:dyDescent="0.2">
      <c r="B213" t="s">
        <v>8221</v>
      </c>
      <c r="C213">
        <v>12</v>
      </c>
      <c r="E213" t="s">
        <v>8221</v>
      </c>
      <c r="F213">
        <v>26</v>
      </c>
    </row>
    <row r="214" spans="2:6" hidden="1" x14ac:dyDescent="0.2">
      <c r="B214" t="s">
        <v>8221</v>
      </c>
      <c r="C214">
        <v>1</v>
      </c>
      <c r="E214" t="s">
        <v>8221</v>
      </c>
      <c r="F214">
        <v>26</v>
      </c>
    </row>
    <row r="215" spans="2:6" hidden="1" x14ac:dyDescent="0.2">
      <c r="B215" t="s">
        <v>8221</v>
      </c>
      <c r="C215">
        <v>1</v>
      </c>
      <c r="E215" t="s">
        <v>8221</v>
      </c>
      <c r="F215">
        <v>25</v>
      </c>
    </row>
    <row r="216" spans="2:6" hidden="1" x14ac:dyDescent="0.2">
      <c r="B216" t="s">
        <v>8221</v>
      </c>
      <c r="C216">
        <v>1</v>
      </c>
      <c r="E216" t="s">
        <v>8221</v>
      </c>
      <c r="F216">
        <v>25</v>
      </c>
    </row>
    <row r="217" spans="2:6" hidden="1" x14ac:dyDescent="0.2">
      <c r="B217" t="s">
        <v>8221</v>
      </c>
      <c r="C217">
        <v>1</v>
      </c>
      <c r="E217" t="s">
        <v>8221</v>
      </c>
      <c r="F217">
        <v>25</v>
      </c>
    </row>
    <row r="218" spans="2:6" hidden="1" x14ac:dyDescent="0.2">
      <c r="B218" t="s">
        <v>8221</v>
      </c>
      <c r="C218">
        <v>84</v>
      </c>
      <c r="E218" t="s">
        <v>8221</v>
      </c>
      <c r="F218">
        <v>25</v>
      </c>
    </row>
    <row r="219" spans="2:6" hidden="1" x14ac:dyDescent="0.2">
      <c r="B219" t="s">
        <v>8221</v>
      </c>
      <c r="C219">
        <v>38</v>
      </c>
      <c r="E219" t="s">
        <v>8221</v>
      </c>
      <c r="F219">
        <v>25</v>
      </c>
    </row>
    <row r="220" spans="2:6" hidden="1" x14ac:dyDescent="0.2">
      <c r="B220" t="s">
        <v>8221</v>
      </c>
      <c r="C220">
        <v>1</v>
      </c>
      <c r="E220" t="s">
        <v>8221</v>
      </c>
      <c r="F220">
        <v>25</v>
      </c>
    </row>
    <row r="221" spans="2:6" hidden="1" x14ac:dyDescent="0.2">
      <c r="B221" t="s">
        <v>8221</v>
      </c>
      <c r="C221">
        <v>76</v>
      </c>
      <c r="E221" t="s">
        <v>8221</v>
      </c>
      <c r="F221">
        <v>25</v>
      </c>
    </row>
    <row r="222" spans="2:6" hidden="1" x14ac:dyDescent="0.2">
      <c r="B222" t="s">
        <v>8221</v>
      </c>
      <c r="C222">
        <v>3</v>
      </c>
      <c r="E222" t="s">
        <v>8221</v>
      </c>
      <c r="F222">
        <v>24</v>
      </c>
    </row>
    <row r="223" spans="2:6" hidden="1" x14ac:dyDescent="0.2">
      <c r="B223" t="s">
        <v>8221</v>
      </c>
      <c r="C223">
        <v>0</v>
      </c>
      <c r="E223" t="s">
        <v>8221</v>
      </c>
      <c r="F223">
        <v>24</v>
      </c>
    </row>
    <row r="224" spans="2:6" hidden="1" x14ac:dyDescent="0.2">
      <c r="B224" t="s">
        <v>8221</v>
      </c>
      <c r="C224">
        <v>2</v>
      </c>
      <c r="E224" t="s">
        <v>8221</v>
      </c>
      <c r="F224">
        <v>24</v>
      </c>
    </row>
    <row r="225" spans="2:6" hidden="1" x14ac:dyDescent="0.2">
      <c r="B225" t="s">
        <v>8221</v>
      </c>
      <c r="C225">
        <v>0</v>
      </c>
      <c r="E225" t="s">
        <v>8221</v>
      </c>
      <c r="F225">
        <v>24</v>
      </c>
    </row>
    <row r="226" spans="2:6" hidden="1" x14ac:dyDescent="0.2">
      <c r="B226" t="s">
        <v>8221</v>
      </c>
      <c r="C226">
        <v>0</v>
      </c>
      <c r="E226" t="s">
        <v>8221</v>
      </c>
      <c r="F226">
        <v>24</v>
      </c>
    </row>
    <row r="227" spans="2:6" hidden="1" x14ac:dyDescent="0.2">
      <c r="B227" t="s">
        <v>8221</v>
      </c>
      <c r="C227">
        <v>0</v>
      </c>
      <c r="E227" t="s">
        <v>8221</v>
      </c>
      <c r="F227">
        <v>24</v>
      </c>
    </row>
    <row r="228" spans="2:6" hidden="1" x14ac:dyDescent="0.2">
      <c r="B228" t="s">
        <v>8221</v>
      </c>
      <c r="C228">
        <v>2</v>
      </c>
      <c r="E228" t="s">
        <v>8221</v>
      </c>
      <c r="F228">
        <v>24</v>
      </c>
    </row>
    <row r="229" spans="2:6" hidden="1" x14ac:dyDescent="0.2">
      <c r="B229" t="s">
        <v>8221</v>
      </c>
      <c r="C229">
        <v>0</v>
      </c>
      <c r="E229" t="s">
        <v>8221</v>
      </c>
      <c r="F229">
        <v>24</v>
      </c>
    </row>
    <row r="230" spans="2:6" hidden="1" x14ac:dyDescent="0.2">
      <c r="B230" t="s">
        <v>8221</v>
      </c>
      <c r="C230">
        <v>0</v>
      </c>
      <c r="E230" t="s">
        <v>8221</v>
      </c>
      <c r="F230">
        <v>24</v>
      </c>
    </row>
    <row r="231" spans="2:6" hidden="1" x14ac:dyDescent="0.2">
      <c r="B231" t="s">
        <v>8221</v>
      </c>
      <c r="C231">
        <v>0</v>
      </c>
      <c r="E231" t="s">
        <v>8221</v>
      </c>
      <c r="F231">
        <v>24</v>
      </c>
    </row>
    <row r="232" spans="2:6" hidden="1" x14ac:dyDescent="0.2">
      <c r="B232" t="s">
        <v>8221</v>
      </c>
      <c r="C232">
        <v>2</v>
      </c>
      <c r="E232" t="s">
        <v>8221</v>
      </c>
      <c r="F232">
        <v>24</v>
      </c>
    </row>
    <row r="233" spans="2:6" hidden="1" x14ac:dyDescent="0.2">
      <c r="B233" t="s">
        <v>8221</v>
      </c>
      <c r="C233">
        <v>0</v>
      </c>
      <c r="E233" t="s">
        <v>8221</v>
      </c>
      <c r="F233">
        <v>24</v>
      </c>
    </row>
    <row r="234" spans="2:6" hidden="1" x14ac:dyDescent="0.2">
      <c r="B234" t="s">
        <v>8221</v>
      </c>
      <c r="C234">
        <v>7</v>
      </c>
      <c r="E234" t="s">
        <v>8221</v>
      </c>
      <c r="F234">
        <v>24</v>
      </c>
    </row>
    <row r="235" spans="2:6" hidden="1" x14ac:dyDescent="0.2">
      <c r="B235" t="s">
        <v>8221</v>
      </c>
      <c r="C235">
        <v>0</v>
      </c>
      <c r="E235" t="s">
        <v>8221</v>
      </c>
      <c r="F235">
        <v>23</v>
      </c>
    </row>
    <row r="236" spans="2:6" hidden="1" x14ac:dyDescent="0.2">
      <c r="B236" t="s">
        <v>8221</v>
      </c>
      <c r="C236">
        <v>5</v>
      </c>
      <c r="E236" t="s">
        <v>8221</v>
      </c>
      <c r="F236">
        <v>23</v>
      </c>
    </row>
    <row r="237" spans="2:6" hidden="1" x14ac:dyDescent="0.2">
      <c r="B237" t="s">
        <v>8221</v>
      </c>
      <c r="C237">
        <v>0</v>
      </c>
      <c r="E237" t="s">
        <v>8221</v>
      </c>
      <c r="F237">
        <v>23</v>
      </c>
    </row>
    <row r="238" spans="2:6" hidden="1" x14ac:dyDescent="0.2">
      <c r="B238" t="s">
        <v>8221</v>
      </c>
      <c r="C238">
        <v>0</v>
      </c>
      <c r="E238" t="s">
        <v>8221</v>
      </c>
      <c r="F238">
        <v>23</v>
      </c>
    </row>
    <row r="239" spans="2:6" hidden="1" x14ac:dyDescent="0.2">
      <c r="B239" t="s">
        <v>8221</v>
      </c>
      <c r="C239">
        <v>1</v>
      </c>
      <c r="E239" t="s">
        <v>8221</v>
      </c>
      <c r="F239">
        <v>23</v>
      </c>
    </row>
    <row r="240" spans="2:6" hidden="1" x14ac:dyDescent="0.2">
      <c r="B240" t="s">
        <v>8221</v>
      </c>
      <c r="C240">
        <v>0</v>
      </c>
      <c r="E240" t="s">
        <v>8221</v>
      </c>
      <c r="F240">
        <v>23</v>
      </c>
    </row>
    <row r="241" spans="2:6" hidden="1" x14ac:dyDescent="0.2">
      <c r="B241" t="s">
        <v>8221</v>
      </c>
      <c r="C241">
        <v>5</v>
      </c>
      <c r="E241" t="s">
        <v>8221</v>
      </c>
      <c r="F241">
        <v>23</v>
      </c>
    </row>
    <row r="242" spans="2:6" x14ac:dyDescent="0.2">
      <c r="B242" t="s">
        <v>8219</v>
      </c>
      <c r="C242">
        <v>563</v>
      </c>
      <c r="E242" t="s">
        <v>8221</v>
      </c>
      <c r="F242">
        <v>22</v>
      </c>
    </row>
    <row r="243" spans="2:6" x14ac:dyDescent="0.2">
      <c r="B243" t="s">
        <v>8219</v>
      </c>
      <c r="C243">
        <v>562</v>
      </c>
      <c r="E243" t="s">
        <v>8221</v>
      </c>
      <c r="F243">
        <v>22</v>
      </c>
    </row>
    <row r="244" spans="2:6" x14ac:dyDescent="0.2">
      <c r="B244" t="s">
        <v>8219</v>
      </c>
      <c r="C244">
        <v>560</v>
      </c>
      <c r="E244" t="s">
        <v>8221</v>
      </c>
      <c r="F244">
        <v>22</v>
      </c>
    </row>
    <row r="245" spans="2:6" x14ac:dyDescent="0.2">
      <c r="B245" t="s">
        <v>8219</v>
      </c>
      <c r="C245">
        <v>558</v>
      </c>
      <c r="E245" t="s">
        <v>8221</v>
      </c>
      <c r="F245">
        <v>22</v>
      </c>
    </row>
    <row r="246" spans="2:6" x14ac:dyDescent="0.2">
      <c r="B246" t="s">
        <v>8219</v>
      </c>
      <c r="C246">
        <v>557</v>
      </c>
      <c r="E246" t="s">
        <v>8221</v>
      </c>
      <c r="F246">
        <v>22</v>
      </c>
    </row>
    <row r="247" spans="2:6" x14ac:dyDescent="0.2">
      <c r="B247" t="s">
        <v>8219</v>
      </c>
      <c r="C247">
        <v>555</v>
      </c>
      <c r="E247" t="s">
        <v>8221</v>
      </c>
      <c r="F247">
        <v>22</v>
      </c>
    </row>
    <row r="248" spans="2:6" x14ac:dyDescent="0.2">
      <c r="B248" t="s">
        <v>8219</v>
      </c>
      <c r="C248">
        <v>555</v>
      </c>
      <c r="E248" t="s">
        <v>8221</v>
      </c>
      <c r="F248">
        <v>22</v>
      </c>
    </row>
    <row r="249" spans="2:6" x14ac:dyDescent="0.2">
      <c r="B249" t="s">
        <v>8219</v>
      </c>
      <c r="C249">
        <v>554</v>
      </c>
      <c r="E249" t="s">
        <v>8221</v>
      </c>
      <c r="F249">
        <v>21</v>
      </c>
    </row>
    <row r="250" spans="2:6" x14ac:dyDescent="0.2">
      <c r="B250" t="s">
        <v>8219</v>
      </c>
      <c r="C250">
        <v>551</v>
      </c>
      <c r="E250" t="s">
        <v>8221</v>
      </c>
      <c r="F250">
        <v>21</v>
      </c>
    </row>
    <row r="251" spans="2:6" x14ac:dyDescent="0.2">
      <c r="B251" t="s">
        <v>8219</v>
      </c>
      <c r="C251">
        <v>549</v>
      </c>
      <c r="E251" t="s">
        <v>8221</v>
      </c>
      <c r="F251">
        <v>21</v>
      </c>
    </row>
    <row r="252" spans="2:6" x14ac:dyDescent="0.2">
      <c r="B252" t="s">
        <v>8219</v>
      </c>
      <c r="C252">
        <v>541</v>
      </c>
      <c r="E252" t="s">
        <v>8221</v>
      </c>
      <c r="F252">
        <v>21</v>
      </c>
    </row>
    <row r="253" spans="2:6" x14ac:dyDescent="0.2">
      <c r="B253" t="s">
        <v>8219</v>
      </c>
      <c r="C253">
        <v>539</v>
      </c>
      <c r="E253" t="s">
        <v>8221</v>
      </c>
      <c r="F253">
        <v>21</v>
      </c>
    </row>
    <row r="254" spans="2:6" x14ac:dyDescent="0.2">
      <c r="B254" t="s">
        <v>8219</v>
      </c>
      <c r="C254">
        <v>539</v>
      </c>
      <c r="E254" t="s">
        <v>8221</v>
      </c>
      <c r="F254">
        <v>21</v>
      </c>
    </row>
    <row r="255" spans="2:6" x14ac:dyDescent="0.2">
      <c r="B255" t="s">
        <v>8219</v>
      </c>
      <c r="C255">
        <v>537</v>
      </c>
      <c r="E255" t="s">
        <v>8221</v>
      </c>
      <c r="F255">
        <v>21</v>
      </c>
    </row>
    <row r="256" spans="2:6" x14ac:dyDescent="0.2">
      <c r="B256" t="s">
        <v>8219</v>
      </c>
      <c r="C256">
        <v>537</v>
      </c>
      <c r="E256" t="s">
        <v>8221</v>
      </c>
      <c r="F256">
        <v>21</v>
      </c>
    </row>
    <row r="257" spans="2:6" x14ac:dyDescent="0.2">
      <c r="B257" t="s">
        <v>8219</v>
      </c>
      <c r="C257">
        <v>531</v>
      </c>
      <c r="E257" t="s">
        <v>8221</v>
      </c>
      <c r="F257">
        <v>21</v>
      </c>
    </row>
    <row r="258" spans="2:6" x14ac:dyDescent="0.2">
      <c r="B258" t="s">
        <v>8219</v>
      </c>
      <c r="C258">
        <v>524</v>
      </c>
      <c r="E258" t="s">
        <v>8221</v>
      </c>
      <c r="F258">
        <v>20</v>
      </c>
    </row>
    <row r="259" spans="2:6" x14ac:dyDescent="0.2">
      <c r="B259" t="s">
        <v>8219</v>
      </c>
      <c r="C259">
        <v>514</v>
      </c>
      <c r="E259" t="s">
        <v>8221</v>
      </c>
      <c r="F259">
        <v>20</v>
      </c>
    </row>
    <row r="260" spans="2:6" x14ac:dyDescent="0.2">
      <c r="B260" t="s">
        <v>8219</v>
      </c>
      <c r="C260">
        <v>512</v>
      </c>
      <c r="E260" t="s">
        <v>8221</v>
      </c>
      <c r="F260">
        <v>20</v>
      </c>
    </row>
    <row r="261" spans="2:6" x14ac:dyDescent="0.2">
      <c r="B261" t="s">
        <v>8219</v>
      </c>
      <c r="C261">
        <v>510</v>
      </c>
      <c r="E261" t="s">
        <v>8221</v>
      </c>
      <c r="F261">
        <v>20</v>
      </c>
    </row>
    <row r="262" spans="2:6" x14ac:dyDescent="0.2">
      <c r="B262" t="s">
        <v>8219</v>
      </c>
      <c r="C262">
        <v>508</v>
      </c>
      <c r="E262" t="s">
        <v>8221</v>
      </c>
      <c r="F262">
        <v>20</v>
      </c>
    </row>
    <row r="263" spans="2:6" x14ac:dyDescent="0.2">
      <c r="B263" t="s">
        <v>8219</v>
      </c>
      <c r="C263">
        <v>508</v>
      </c>
      <c r="E263" t="s">
        <v>8221</v>
      </c>
      <c r="F263">
        <v>20</v>
      </c>
    </row>
    <row r="264" spans="2:6" x14ac:dyDescent="0.2">
      <c r="B264" t="s">
        <v>8219</v>
      </c>
      <c r="C264">
        <v>508</v>
      </c>
      <c r="E264" t="s">
        <v>8221</v>
      </c>
      <c r="F264">
        <v>20</v>
      </c>
    </row>
    <row r="265" spans="2:6" x14ac:dyDescent="0.2">
      <c r="B265" t="s">
        <v>8219</v>
      </c>
      <c r="C265">
        <v>499</v>
      </c>
      <c r="E265" t="s">
        <v>8221</v>
      </c>
      <c r="F265">
        <v>20</v>
      </c>
    </row>
    <row r="266" spans="2:6" x14ac:dyDescent="0.2">
      <c r="B266" t="s">
        <v>8219</v>
      </c>
      <c r="C266">
        <v>498</v>
      </c>
      <c r="E266" t="s">
        <v>8221</v>
      </c>
      <c r="F266">
        <v>19</v>
      </c>
    </row>
    <row r="267" spans="2:6" x14ac:dyDescent="0.2">
      <c r="B267" t="s">
        <v>8219</v>
      </c>
      <c r="C267">
        <v>498</v>
      </c>
      <c r="E267" t="s">
        <v>8221</v>
      </c>
      <c r="F267">
        <v>19</v>
      </c>
    </row>
    <row r="268" spans="2:6" x14ac:dyDescent="0.2">
      <c r="B268" t="s">
        <v>8219</v>
      </c>
      <c r="C268">
        <v>493</v>
      </c>
      <c r="E268" t="s">
        <v>8221</v>
      </c>
      <c r="F268">
        <v>19</v>
      </c>
    </row>
    <row r="269" spans="2:6" x14ac:dyDescent="0.2">
      <c r="B269" t="s">
        <v>8219</v>
      </c>
      <c r="C269">
        <v>493</v>
      </c>
      <c r="E269" t="s">
        <v>8221</v>
      </c>
      <c r="F269">
        <v>19</v>
      </c>
    </row>
    <row r="270" spans="2:6" x14ac:dyDescent="0.2">
      <c r="B270" t="s">
        <v>8219</v>
      </c>
      <c r="C270">
        <v>489</v>
      </c>
      <c r="E270" t="s">
        <v>8221</v>
      </c>
      <c r="F270">
        <v>19</v>
      </c>
    </row>
    <row r="271" spans="2:6" x14ac:dyDescent="0.2">
      <c r="B271" t="s">
        <v>8219</v>
      </c>
      <c r="C271">
        <v>480</v>
      </c>
      <c r="E271" t="s">
        <v>8221</v>
      </c>
      <c r="F271">
        <v>19</v>
      </c>
    </row>
    <row r="272" spans="2:6" x14ac:dyDescent="0.2">
      <c r="B272" t="s">
        <v>8219</v>
      </c>
      <c r="C272">
        <v>480</v>
      </c>
      <c r="E272" t="s">
        <v>8221</v>
      </c>
      <c r="F272">
        <v>19</v>
      </c>
    </row>
    <row r="273" spans="2:6" x14ac:dyDescent="0.2">
      <c r="B273" t="s">
        <v>8219</v>
      </c>
      <c r="C273">
        <v>479</v>
      </c>
      <c r="E273" t="s">
        <v>8221</v>
      </c>
      <c r="F273">
        <v>19</v>
      </c>
    </row>
    <row r="274" spans="2:6" x14ac:dyDescent="0.2">
      <c r="B274" t="s">
        <v>8219</v>
      </c>
      <c r="C274">
        <v>478</v>
      </c>
      <c r="E274" t="s">
        <v>8221</v>
      </c>
      <c r="F274">
        <v>19</v>
      </c>
    </row>
    <row r="275" spans="2:6" x14ac:dyDescent="0.2">
      <c r="B275" t="s">
        <v>8219</v>
      </c>
      <c r="C275">
        <v>473</v>
      </c>
      <c r="E275" t="s">
        <v>8221</v>
      </c>
      <c r="F275">
        <v>19</v>
      </c>
    </row>
    <row r="276" spans="2:6" x14ac:dyDescent="0.2">
      <c r="B276" t="s">
        <v>8219</v>
      </c>
      <c r="C276">
        <v>470</v>
      </c>
      <c r="E276" t="s">
        <v>8221</v>
      </c>
      <c r="F276">
        <v>19</v>
      </c>
    </row>
    <row r="277" spans="2:6" x14ac:dyDescent="0.2">
      <c r="B277" t="s">
        <v>8219</v>
      </c>
      <c r="C277">
        <v>467</v>
      </c>
      <c r="E277" t="s">
        <v>8221</v>
      </c>
      <c r="F277">
        <v>18</v>
      </c>
    </row>
    <row r="278" spans="2:6" x14ac:dyDescent="0.2">
      <c r="B278" t="s">
        <v>8219</v>
      </c>
      <c r="C278">
        <v>465</v>
      </c>
      <c r="E278" t="s">
        <v>8221</v>
      </c>
      <c r="F278">
        <v>18</v>
      </c>
    </row>
    <row r="279" spans="2:6" x14ac:dyDescent="0.2">
      <c r="B279" t="s">
        <v>8219</v>
      </c>
      <c r="C279">
        <v>456</v>
      </c>
      <c r="E279" t="s">
        <v>8221</v>
      </c>
      <c r="F279">
        <v>18</v>
      </c>
    </row>
    <row r="280" spans="2:6" x14ac:dyDescent="0.2">
      <c r="B280" t="s">
        <v>8219</v>
      </c>
      <c r="C280">
        <v>455</v>
      </c>
      <c r="E280" t="s">
        <v>8221</v>
      </c>
      <c r="F280">
        <v>18</v>
      </c>
    </row>
    <row r="281" spans="2:6" x14ac:dyDescent="0.2">
      <c r="B281" t="s">
        <v>8219</v>
      </c>
      <c r="C281">
        <v>454</v>
      </c>
      <c r="E281" t="s">
        <v>8221</v>
      </c>
      <c r="F281">
        <v>18</v>
      </c>
    </row>
    <row r="282" spans="2:6" x14ac:dyDescent="0.2">
      <c r="B282" t="s">
        <v>8219</v>
      </c>
      <c r="C282">
        <v>452</v>
      </c>
      <c r="E282" t="s">
        <v>8221</v>
      </c>
      <c r="F282">
        <v>18</v>
      </c>
    </row>
    <row r="283" spans="2:6" x14ac:dyDescent="0.2">
      <c r="B283" t="s">
        <v>8219</v>
      </c>
      <c r="C283">
        <v>450</v>
      </c>
      <c r="E283" t="s">
        <v>8221</v>
      </c>
      <c r="F283">
        <v>18</v>
      </c>
    </row>
    <row r="284" spans="2:6" x14ac:dyDescent="0.2">
      <c r="B284" t="s">
        <v>8219</v>
      </c>
      <c r="C284">
        <v>447</v>
      </c>
      <c r="E284" t="s">
        <v>8221</v>
      </c>
      <c r="F284">
        <v>18</v>
      </c>
    </row>
    <row r="285" spans="2:6" x14ac:dyDescent="0.2">
      <c r="B285" t="s">
        <v>8219</v>
      </c>
      <c r="C285">
        <v>445</v>
      </c>
      <c r="E285" t="s">
        <v>8221</v>
      </c>
      <c r="F285">
        <v>17</v>
      </c>
    </row>
    <row r="286" spans="2:6" x14ac:dyDescent="0.2">
      <c r="B286" t="s">
        <v>8219</v>
      </c>
      <c r="C286">
        <v>443</v>
      </c>
      <c r="E286" t="s">
        <v>8221</v>
      </c>
      <c r="F286">
        <v>17</v>
      </c>
    </row>
    <row r="287" spans="2:6" x14ac:dyDescent="0.2">
      <c r="B287" t="s">
        <v>8219</v>
      </c>
      <c r="C287">
        <v>441</v>
      </c>
      <c r="E287" t="s">
        <v>8221</v>
      </c>
      <c r="F287">
        <v>17</v>
      </c>
    </row>
    <row r="288" spans="2:6" x14ac:dyDescent="0.2">
      <c r="B288" t="s">
        <v>8219</v>
      </c>
      <c r="C288">
        <v>438</v>
      </c>
      <c r="E288" t="s">
        <v>8221</v>
      </c>
      <c r="F288">
        <v>17</v>
      </c>
    </row>
    <row r="289" spans="2:6" x14ac:dyDescent="0.2">
      <c r="B289" t="s">
        <v>8219</v>
      </c>
      <c r="C289">
        <v>437</v>
      </c>
      <c r="E289" t="s">
        <v>8221</v>
      </c>
      <c r="F289">
        <v>17</v>
      </c>
    </row>
    <row r="290" spans="2:6" x14ac:dyDescent="0.2">
      <c r="B290" t="s">
        <v>8219</v>
      </c>
      <c r="C290">
        <v>433</v>
      </c>
      <c r="E290" t="s">
        <v>8221</v>
      </c>
      <c r="F290">
        <v>17</v>
      </c>
    </row>
    <row r="291" spans="2:6" x14ac:dyDescent="0.2">
      <c r="B291" t="s">
        <v>8219</v>
      </c>
      <c r="C291">
        <v>429</v>
      </c>
      <c r="E291" t="s">
        <v>8221</v>
      </c>
      <c r="F291">
        <v>17</v>
      </c>
    </row>
    <row r="292" spans="2:6" x14ac:dyDescent="0.2">
      <c r="B292" t="s">
        <v>8219</v>
      </c>
      <c r="C292">
        <v>426</v>
      </c>
      <c r="E292" t="s">
        <v>8221</v>
      </c>
      <c r="F292">
        <v>17</v>
      </c>
    </row>
    <row r="293" spans="2:6" x14ac:dyDescent="0.2">
      <c r="B293" t="s">
        <v>8219</v>
      </c>
      <c r="C293">
        <v>426</v>
      </c>
      <c r="E293" t="s">
        <v>8221</v>
      </c>
      <c r="F293">
        <v>17</v>
      </c>
    </row>
    <row r="294" spans="2:6" x14ac:dyDescent="0.2">
      <c r="B294" t="s">
        <v>8219</v>
      </c>
      <c r="C294">
        <v>424</v>
      </c>
      <c r="E294" t="s">
        <v>8221</v>
      </c>
      <c r="F294">
        <v>17</v>
      </c>
    </row>
    <row r="295" spans="2:6" x14ac:dyDescent="0.2">
      <c r="B295" t="s">
        <v>8219</v>
      </c>
      <c r="C295">
        <v>415</v>
      </c>
      <c r="E295" t="s">
        <v>8221</v>
      </c>
      <c r="F295">
        <v>17</v>
      </c>
    </row>
    <row r="296" spans="2:6" x14ac:dyDescent="0.2">
      <c r="B296" t="s">
        <v>8219</v>
      </c>
      <c r="C296">
        <v>415</v>
      </c>
      <c r="E296" t="s">
        <v>8221</v>
      </c>
      <c r="F296">
        <v>17</v>
      </c>
    </row>
    <row r="297" spans="2:6" x14ac:dyDescent="0.2">
      <c r="B297" t="s">
        <v>8219</v>
      </c>
      <c r="C297">
        <v>413</v>
      </c>
      <c r="E297" t="s">
        <v>8221</v>
      </c>
      <c r="F297">
        <v>17</v>
      </c>
    </row>
    <row r="298" spans="2:6" x14ac:dyDescent="0.2">
      <c r="B298" t="s">
        <v>8219</v>
      </c>
      <c r="C298">
        <v>410</v>
      </c>
      <c r="E298" t="s">
        <v>8221</v>
      </c>
      <c r="F298">
        <v>17</v>
      </c>
    </row>
    <row r="299" spans="2:6" x14ac:dyDescent="0.2">
      <c r="B299" t="s">
        <v>8219</v>
      </c>
      <c r="C299">
        <v>406</v>
      </c>
      <c r="E299" t="s">
        <v>8221</v>
      </c>
      <c r="F299">
        <v>17</v>
      </c>
    </row>
    <row r="300" spans="2:6" x14ac:dyDescent="0.2">
      <c r="B300" t="s">
        <v>8219</v>
      </c>
      <c r="C300">
        <v>405</v>
      </c>
      <c r="E300" t="s">
        <v>8221</v>
      </c>
      <c r="F300">
        <v>17</v>
      </c>
    </row>
    <row r="301" spans="2:6" x14ac:dyDescent="0.2">
      <c r="B301" t="s">
        <v>8219</v>
      </c>
      <c r="C301">
        <v>405</v>
      </c>
      <c r="E301" t="s">
        <v>8221</v>
      </c>
      <c r="F301">
        <v>16</v>
      </c>
    </row>
    <row r="302" spans="2:6" x14ac:dyDescent="0.2">
      <c r="B302" t="s">
        <v>8219</v>
      </c>
      <c r="C302">
        <v>404</v>
      </c>
      <c r="E302" t="s">
        <v>8221</v>
      </c>
      <c r="F302">
        <v>16</v>
      </c>
    </row>
    <row r="303" spans="2:6" x14ac:dyDescent="0.2">
      <c r="B303" t="s">
        <v>8219</v>
      </c>
      <c r="C303">
        <v>404</v>
      </c>
      <c r="E303" t="s">
        <v>8221</v>
      </c>
      <c r="F303">
        <v>16</v>
      </c>
    </row>
    <row r="304" spans="2:6" x14ac:dyDescent="0.2">
      <c r="B304" t="s">
        <v>8219</v>
      </c>
      <c r="C304">
        <v>403</v>
      </c>
      <c r="E304" t="s">
        <v>8221</v>
      </c>
      <c r="F304">
        <v>16</v>
      </c>
    </row>
    <row r="305" spans="2:6" x14ac:dyDescent="0.2">
      <c r="B305" t="s">
        <v>8219</v>
      </c>
      <c r="C305">
        <v>402</v>
      </c>
      <c r="E305" t="s">
        <v>8221</v>
      </c>
      <c r="F305">
        <v>16</v>
      </c>
    </row>
    <row r="306" spans="2:6" x14ac:dyDescent="0.2">
      <c r="B306" t="s">
        <v>8219</v>
      </c>
      <c r="C306">
        <v>398</v>
      </c>
      <c r="E306" t="s">
        <v>8221</v>
      </c>
      <c r="F306">
        <v>16</v>
      </c>
    </row>
    <row r="307" spans="2:6" x14ac:dyDescent="0.2">
      <c r="B307" t="s">
        <v>8219</v>
      </c>
      <c r="C307">
        <v>398</v>
      </c>
      <c r="E307" t="s">
        <v>8221</v>
      </c>
      <c r="F307">
        <v>16</v>
      </c>
    </row>
    <row r="308" spans="2:6" x14ac:dyDescent="0.2">
      <c r="B308" t="s">
        <v>8219</v>
      </c>
      <c r="C308">
        <v>394</v>
      </c>
      <c r="E308" t="s">
        <v>8221</v>
      </c>
      <c r="F308">
        <v>16</v>
      </c>
    </row>
    <row r="309" spans="2:6" x14ac:dyDescent="0.2">
      <c r="B309" t="s">
        <v>8219</v>
      </c>
      <c r="C309">
        <v>392</v>
      </c>
      <c r="E309" t="s">
        <v>8221</v>
      </c>
      <c r="F309">
        <v>16</v>
      </c>
    </row>
    <row r="310" spans="2:6" x14ac:dyDescent="0.2">
      <c r="B310" t="s">
        <v>8219</v>
      </c>
      <c r="C310">
        <v>392</v>
      </c>
      <c r="E310" t="s">
        <v>8221</v>
      </c>
      <c r="F310">
        <v>16</v>
      </c>
    </row>
    <row r="311" spans="2:6" x14ac:dyDescent="0.2">
      <c r="B311" t="s">
        <v>8219</v>
      </c>
      <c r="C311">
        <v>392</v>
      </c>
      <c r="E311" t="s">
        <v>8221</v>
      </c>
      <c r="F311">
        <v>16</v>
      </c>
    </row>
    <row r="312" spans="2:6" x14ac:dyDescent="0.2">
      <c r="B312" t="s">
        <v>8219</v>
      </c>
      <c r="C312">
        <v>391</v>
      </c>
      <c r="E312" t="s">
        <v>8221</v>
      </c>
      <c r="F312">
        <v>16</v>
      </c>
    </row>
    <row r="313" spans="2:6" x14ac:dyDescent="0.2">
      <c r="B313" t="s">
        <v>8219</v>
      </c>
      <c r="C313">
        <v>389</v>
      </c>
      <c r="E313" t="s">
        <v>8221</v>
      </c>
      <c r="F313">
        <v>16</v>
      </c>
    </row>
    <row r="314" spans="2:6" x14ac:dyDescent="0.2">
      <c r="B314" t="s">
        <v>8219</v>
      </c>
      <c r="C314">
        <v>388</v>
      </c>
      <c r="E314" t="s">
        <v>8221</v>
      </c>
      <c r="F314">
        <v>16</v>
      </c>
    </row>
    <row r="315" spans="2:6" x14ac:dyDescent="0.2">
      <c r="B315" t="s">
        <v>8219</v>
      </c>
      <c r="C315">
        <v>385</v>
      </c>
      <c r="E315" t="s">
        <v>8221</v>
      </c>
      <c r="F315">
        <v>16</v>
      </c>
    </row>
    <row r="316" spans="2:6" x14ac:dyDescent="0.2">
      <c r="B316" t="s">
        <v>8219</v>
      </c>
      <c r="C316">
        <v>383</v>
      </c>
      <c r="E316" t="s">
        <v>8221</v>
      </c>
      <c r="F316">
        <v>16</v>
      </c>
    </row>
    <row r="317" spans="2:6" x14ac:dyDescent="0.2">
      <c r="B317" t="s">
        <v>8219</v>
      </c>
      <c r="C317">
        <v>380</v>
      </c>
      <c r="E317" t="s">
        <v>8221</v>
      </c>
      <c r="F317">
        <v>15</v>
      </c>
    </row>
    <row r="318" spans="2:6" x14ac:dyDescent="0.2">
      <c r="B318" t="s">
        <v>8219</v>
      </c>
      <c r="C318">
        <v>379</v>
      </c>
      <c r="E318" t="s">
        <v>8221</v>
      </c>
      <c r="F318">
        <v>15</v>
      </c>
    </row>
    <row r="319" spans="2:6" x14ac:dyDescent="0.2">
      <c r="B319" t="s">
        <v>8219</v>
      </c>
      <c r="C319">
        <v>379</v>
      </c>
      <c r="E319" t="s">
        <v>8221</v>
      </c>
      <c r="F319">
        <v>15</v>
      </c>
    </row>
    <row r="320" spans="2:6" x14ac:dyDescent="0.2">
      <c r="B320" t="s">
        <v>8219</v>
      </c>
      <c r="C320">
        <v>376</v>
      </c>
      <c r="E320" t="s">
        <v>8221</v>
      </c>
      <c r="F320">
        <v>15</v>
      </c>
    </row>
    <row r="321" spans="2:6" x14ac:dyDescent="0.2">
      <c r="B321" t="s">
        <v>8219</v>
      </c>
      <c r="C321">
        <v>375</v>
      </c>
      <c r="E321" t="s">
        <v>8221</v>
      </c>
      <c r="F321">
        <v>15</v>
      </c>
    </row>
    <row r="322" spans="2:6" x14ac:dyDescent="0.2">
      <c r="B322" t="s">
        <v>8219</v>
      </c>
      <c r="C322">
        <v>375</v>
      </c>
      <c r="E322" t="s">
        <v>8221</v>
      </c>
      <c r="F322">
        <v>15</v>
      </c>
    </row>
    <row r="323" spans="2:6" x14ac:dyDescent="0.2">
      <c r="B323" t="s">
        <v>8219</v>
      </c>
      <c r="C323">
        <v>372</v>
      </c>
      <c r="E323" t="s">
        <v>8221</v>
      </c>
      <c r="F323">
        <v>15</v>
      </c>
    </row>
    <row r="324" spans="2:6" x14ac:dyDescent="0.2">
      <c r="B324" t="s">
        <v>8219</v>
      </c>
      <c r="C324">
        <v>369</v>
      </c>
      <c r="E324" t="s">
        <v>8221</v>
      </c>
      <c r="F324">
        <v>15</v>
      </c>
    </row>
    <row r="325" spans="2:6" x14ac:dyDescent="0.2">
      <c r="B325" t="s">
        <v>8219</v>
      </c>
      <c r="C325">
        <v>369</v>
      </c>
      <c r="E325" t="s">
        <v>8221</v>
      </c>
      <c r="F325">
        <v>15</v>
      </c>
    </row>
    <row r="326" spans="2:6" x14ac:dyDescent="0.2">
      <c r="B326" t="s">
        <v>8219</v>
      </c>
      <c r="C326">
        <v>365</v>
      </c>
      <c r="E326" t="s">
        <v>8221</v>
      </c>
      <c r="F326">
        <v>15</v>
      </c>
    </row>
    <row r="327" spans="2:6" x14ac:dyDescent="0.2">
      <c r="B327" t="s">
        <v>8219</v>
      </c>
      <c r="C327">
        <v>364</v>
      </c>
      <c r="E327" t="s">
        <v>8221</v>
      </c>
      <c r="F327">
        <v>15</v>
      </c>
    </row>
    <row r="328" spans="2:6" x14ac:dyDescent="0.2">
      <c r="B328" t="s">
        <v>8219</v>
      </c>
      <c r="C328">
        <v>361</v>
      </c>
      <c r="E328" t="s">
        <v>8221</v>
      </c>
      <c r="F328">
        <v>15</v>
      </c>
    </row>
    <row r="329" spans="2:6" x14ac:dyDescent="0.2">
      <c r="B329" t="s">
        <v>8219</v>
      </c>
      <c r="C329">
        <v>356</v>
      </c>
      <c r="E329" t="s">
        <v>8221</v>
      </c>
      <c r="F329">
        <v>15</v>
      </c>
    </row>
    <row r="330" spans="2:6" x14ac:dyDescent="0.2">
      <c r="B330" t="s">
        <v>8219</v>
      </c>
      <c r="C330">
        <v>354</v>
      </c>
      <c r="E330" t="s">
        <v>8221</v>
      </c>
      <c r="F330">
        <v>14</v>
      </c>
    </row>
    <row r="331" spans="2:6" x14ac:dyDescent="0.2">
      <c r="B331" t="s">
        <v>8219</v>
      </c>
      <c r="C331">
        <v>354</v>
      </c>
      <c r="E331" t="s">
        <v>8221</v>
      </c>
      <c r="F331">
        <v>14</v>
      </c>
    </row>
    <row r="332" spans="2:6" x14ac:dyDescent="0.2">
      <c r="B332" t="s">
        <v>8219</v>
      </c>
      <c r="C332">
        <v>353</v>
      </c>
      <c r="E332" t="s">
        <v>8221</v>
      </c>
      <c r="F332">
        <v>14</v>
      </c>
    </row>
    <row r="333" spans="2:6" x14ac:dyDescent="0.2">
      <c r="B333" t="s">
        <v>8219</v>
      </c>
      <c r="C333">
        <v>352</v>
      </c>
      <c r="E333" t="s">
        <v>8221</v>
      </c>
      <c r="F333">
        <v>14</v>
      </c>
    </row>
    <row r="334" spans="2:6" x14ac:dyDescent="0.2">
      <c r="B334" t="s">
        <v>8219</v>
      </c>
      <c r="C334">
        <v>351</v>
      </c>
      <c r="E334" t="s">
        <v>8221</v>
      </c>
      <c r="F334">
        <v>14</v>
      </c>
    </row>
    <row r="335" spans="2:6" x14ac:dyDescent="0.2">
      <c r="B335" t="s">
        <v>8219</v>
      </c>
      <c r="C335">
        <v>350</v>
      </c>
      <c r="E335" t="s">
        <v>8221</v>
      </c>
      <c r="F335">
        <v>14</v>
      </c>
    </row>
    <row r="336" spans="2:6" x14ac:dyDescent="0.2">
      <c r="B336" t="s">
        <v>8219</v>
      </c>
      <c r="C336">
        <v>348</v>
      </c>
      <c r="E336" t="s">
        <v>8221</v>
      </c>
      <c r="F336">
        <v>14</v>
      </c>
    </row>
    <row r="337" spans="2:6" x14ac:dyDescent="0.2">
      <c r="B337" t="s">
        <v>8219</v>
      </c>
      <c r="C337">
        <v>345</v>
      </c>
      <c r="E337" t="s">
        <v>8221</v>
      </c>
      <c r="F337">
        <v>14</v>
      </c>
    </row>
    <row r="338" spans="2:6" x14ac:dyDescent="0.2">
      <c r="B338" t="s">
        <v>8219</v>
      </c>
      <c r="C338">
        <v>343</v>
      </c>
      <c r="E338" t="s">
        <v>8221</v>
      </c>
      <c r="F338">
        <v>14</v>
      </c>
    </row>
    <row r="339" spans="2:6" x14ac:dyDescent="0.2">
      <c r="B339" t="s">
        <v>8219</v>
      </c>
      <c r="C339">
        <v>342</v>
      </c>
      <c r="E339" t="s">
        <v>8221</v>
      </c>
      <c r="F339">
        <v>14</v>
      </c>
    </row>
    <row r="340" spans="2:6" x14ac:dyDescent="0.2">
      <c r="B340" t="s">
        <v>8219</v>
      </c>
      <c r="C340">
        <v>340</v>
      </c>
      <c r="E340" t="s">
        <v>8221</v>
      </c>
      <c r="F340">
        <v>14</v>
      </c>
    </row>
    <row r="341" spans="2:6" x14ac:dyDescent="0.2">
      <c r="B341" t="s">
        <v>8219</v>
      </c>
      <c r="C341">
        <v>340</v>
      </c>
      <c r="E341" t="s">
        <v>8221</v>
      </c>
      <c r="F341">
        <v>14</v>
      </c>
    </row>
    <row r="342" spans="2:6" x14ac:dyDescent="0.2">
      <c r="B342" t="s">
        <v>8219</v>
      </c>
      <c r="C342">
        <v>340</v>
      </c>
      <c r="E342" t="s">
        <v>8221</v>
      </c>
      <c r="F342">
        <v>14</v>
      </c>
    </row>
    <row r="343" spans="2:6" x14ac:dyDescent="0.2">
      <c r="B343" t="s">
        <v>8219</v>
      </c>
      <c r="C343">
        <v>339</v>
      </c>
      <c r="E343" t="s">
        <v>8221</v>
      </c>
      <c r="F343">
        <v>14</v>
      </c>
    </row>
    <row r="344" spans="2:6" x14ac:dyDescent="0.2">
      <c r="B344" t="s">
        <v>8219</v>
      </c>
      <c r="C344">
        <v>337</v>
      </c>
      <c r="E344" t="s">
        <v>8221</v>
      </c>
      <c r="F344">
        <v>14</v>
      </c>
    </row>
    <row r="345" spans="2:6" x14ac:dyDescent="0.2">
      <c r="B345" t="s">
        <v>8219</v>
      </c>
      <c r="C345">
        <v>337</v>
      </c>
      <c r="E345" t="s">
        <v>8221</v>
      </c>
      <c r="F345">
        <v>14</v>
      </c>
    </row>
    <row r="346" spans="2:6" x14ac:dyDescent="0.2">
      <c r="B346" t="s">
        <v>8219</v>
      </c>
      <c r="C346">
        <v>336</v>
      </c>
      <c r="E346" t="s">
        <v>8221</v>
      </c>
      <c r="F346">
        <v>14</v>
      </c>
    </row>
    <row r="347" spans="2:6" x14ac:dyDescent="0.2">
      <c r="B347" t="s">
        <v>8219</v>
      </c>
      <c r="C347">
        <v>336</v>
      </c>
      <c r="E347" t="s">
        <v>8221</v>
      </c>
      <c r="F347">
        <v>14</v>
      </c>
    </row>
    <row r="348" spans="2:6" x14ac:dyDescent="0.2">
      <c r="B348" t="s">
        <v>8219</v>
      </c>
      <c r="C348">
        <v>335</v>
      </c>
      <c r="E348" t="s">
        <v>8221</v>
      </c>
      <c r="F348">
        <v>14</v>
      </c>
    </row>
    <row r="349" spans="2:6" x14ac:dyDescent="0.2">
      <c r="B349" t="s">
        <v>8219</v>
      </c>
      <c r="C349">
        <v>332</v>
      </c>
      <c r="E349" t="s">
        <v>8221</v>
      </c>
      <c r="F349">
        <v>14</v>
      </c>
    </row>
    <row r="350" spans="2:6" x14ac:dyDescent="0.2">
      <c r="B350" t="s">
        <v>8219</v>
      </c>
      <c r="C350">
        <v>329</v>
      </c>
      <c r="E350" t="s">
        <v>8221</v>
      </c>
      <c r="F350">
        <v>14</v>
      </c>
    </row>
    <row r="351" spans="2:6" x14ac:dyDescent="0.2">
      <c r="B351" t="s">
        <v>8219</v>
      </c>
      <c r="C351">
        <v>329</v>
      </c>
      <c r="E351" t="s">
        <v>8221</v>
      </c>
      <c r="F351">
        <v>13</v>
      </c>
    </row>
    <row r="352" spans="2:6" x14ac:dyDescent="0.2">
      <c r="B352" t="s">
        <v>8219</v>
      </c>
      <c r="C352">
        <v>328</v>
      </c>
      <c r="E352" t="s">
        <v>8221</v>
      </c>
      <c r="F352">
        <v>13</v>
      </c>
    </row>
    <row r="353" spans="2:6" x14ac:dyDescent="0.2">
      <c r="B353" t="s">
        <v>8219</v>
      </c>
      <c r="C353">
        <v>325</v>
      </c>
      <c r="E353" t="s">
        <v>8221</v>
      </c>
      <c r="F353">
        <v>13</v>
      </c>
    </row>
    <row r="354" spans="2:6" x14ac:dyDescent="0.2">
      <c r="B354" t="s">
        <v>8219</v>
      </c>
      <c r="C354">
        <v>325</v>
      </c>
      <c r="E354" t="s">
        <v>8221</v>
      </c>
      <c r="F354">
        <v>13</v>
      </c>
    </row>
    <row r="355" spans="2:6" x14ac:dyDescent="0.2">
      <c r="B355" t="s">
        <v>8219</v>
      </c>
      <c r="C355">
        <v>325</v>
      </c>
      <c r="E355" t="s">
        <v>8221</v>
      </c>
      <c r="F355">
        <v>13</v>
      </c>
    </row>
    <row r="356" spans="2:6" x14ac:dyDescent="0.2">
      <c r="B356" t="s">
        <v>8219</v>
      </c>
      <c r="C356">
        <v>322</v>
      </c>
      <c r="E356" t="s">
        <v>8221</v>
      </c>
      <c r="F356">
        <v>13</v>
      </c>
    </row>
    <row r="357" spans="2:6" x14ac:dyDescent="0.2">
      <c r="B357" t="s">
        <v>8219</v>
      </c>
      <c r="C357">
        <v>321</v>
      </c>
      <c r="E357" t="s">
        <v>8221</v>
      </c>
      <c r="F357">
        <v>13</v>
      </c>
    </row>
    <row r="358" spans="2:6" x14ac:dyDescent="0.2">
      <c r="B358" t="s">
        <v>8219</v>
      </c>
      <c r="C358">
        <v>321</v>
      </c>
      <c r="E358" t="s">
        <v>8221</v>
      </c>
      <c r="F358">
        <v>13</v>
      </c>
    </row>
    <row r="359" spans="2:6" x14ac:dyDescent="0.2">
      <c r="B359" t="s">
        <v>8219</v>
      </c>
      <c r="C359">
        <v>321</v>
      </c>
      <c r="E359" t="s">
        <v>8221</v>
      </c>
      <c r="F359">
        <v>13</v>
      </c>
    </row>
    <row r="360" spans="2:6" x14ac:dyDescent="0.2">
      <c r="B360" t="s">
        <v>8219</v>
      </c>
      <c r="C360">
        <v>320</v>
      </c>
      <c r="E360" t="s">
        <v>8221</v>
      </c>
      <c r="F360">
        <v>13</v>
      </c>
    </row>
    <row r="361" spans="2:6" x14ac:dyDescent="0.2">
      <c r="B361" t="s">
        <v>8219</v>
      </c>
      <c r="C361">
        <v>316</v>
      </c>
      <c r="E361" t="s">
        <v>8221</v>
      </c>
      <c r="F361">
        <v>13</v>
      </c>
    </row>
    <row r="362" spans="2:6" x14ac:dyDescent="0.2">
      <c r="B362" t="s">
        <v>8219</v>
      </c>
      <c r="C362">
        <v>315</v>
      </c>
      <c r="E362" t="s">
        <v>8221</v>
      </c>
      <c r="F362">
        <v>13</v>
      </c>
    </row>
    <row r="363" spans="2:6" x14ac:dyDescent="0.2">
      <c r="B363" t="s">
        <v>8219</v>
      </c>
      <c r="C363">
        <v>314</v>
      </c>
      <c r="E363" t="s">
        <v>8221</v>
      </c>
      <c r="F363">
        <v>13</v>
      </c>
    </row>
    <row r="364" spans="2:6" x14ac:dyDescent="0.2">
      <c r="B364" t="s">
        <v>8219</v>
      </c>
      <c r="C364">
        <v>314</v>
      </c>
      <c r="E364" t="s">
        <v>8221</v>
      </c>
      <c r="F364">
        <v>13</v>
      </c>
    </row>
    <row r="365" spans="2:6" x14ac:dyDescent="0.2">
      <c r="B365" t="s">
        <v>8219</v>
      </c>
      <c r="C365">
        <v>311</v>
      </c>
      <c r="E365" t="s">
        <v>8221</v>
      </c>
      <c r="F365">
        <v>13</v>
      </c>
    </row>
    <row r="366" spans="2:6" x14ac:dyDescent="0.2">
      <c r="B366" t="s">
        <v>8219</v>
      </c>
      <c r="C366">
        <v>308</v>
      </c>
      <c r="E366" t="s">
        <v>8221</v>
      </c>
      <c r="F366">
        <v>13</v>
      </c>
    </row>
    <row r="367" spans="2:6" x14ac:dyDescent="0.2">
      <c r="B367" t="s">
        <v>8219</v>
      </c>
      <c r="C367">
        <v>307</v>
      </c>
      <c r="E367" t="s">
        <v>8221</v>
      </c>
      <c r="F367">
        <v>13</v>
      </c>
    </row>
    <row r="368" spans="2:6" x14ac:dyDescent="0.2">
      <c r="B368" t="s">
        <v>8219</v>
      </c>
      <c r="C368">
        <v>306</v>
      </c>
      <c r="E368" t="s">
        <v>8221</v>
      </c>
      <c r="F368">
        <v>13</v>
      </c>
    </row>
    <row r="369" spans="2:6" x14ac:dyDescent="0.2">
      <c r="B369" t="s">
        <v>8219</v>
      </c>
      <c r="C369">
        <v>305</v>
      </c>
      <c r="E369" t="s">
        <v>8221</v>
      </c>
      <c r="F369">
        <v>13</v>
      </c>
    </row>
    <row r="370" spans="2:6" x14ac:dyDescent="0.2">
      <c r="B370" t="s">
        <v>8219</v>
      </c>
      <c r="C370">
        <v>305</v>
      </c>
      <c r="E370" t="s">
        <v>8221</v>
      </c>
      <c r="F370">
        <v>13</v>
      </c>
    </row>
    <row r="371" spans="2:6" x14ac:dyDescent="0.2">
      <c r="B371" t="s">
        <v>8219</v>
      </c>
      <c r="C371">
        <v>304</v>
      </c>
      <c r="E371" t="s">
        <v>8221</v>
      </c>
      <c r="F371">
        <v>13</v>
      </c>
    </row>
    <row r="372" spans="2:6" x14ac:dyDescent="0.2">
      <c r="B372" t="s">
        <v>8219</v>
      </c>
      <c r="C372">
        <v>303</v>
      </c>
      <c r="E372" t="s">
        <v>8221</v>
      </c>
      <c r="F372">
        <v>13</v>
      </c>
    </row>
    <row r="373" spans="2:6" x14ac:dyDescent="0.2">
      <c r="B373" t="s">
        <v>8219</v>
      </c>
      <c r="C373">
        <v>303</v>
      </c>
      <c r="E373" t="s">
        <v>8221</v>
      </c>
      <c r="F373">
        <v>12</v>
      </c>
    </row>
    <row r="374" spans="2:6" x14ac:dyDescent="0.2">
      <c r="B374" t="s">
        <v>8219</v>
      </c>
      <c r="C374">
        <v>302</v>
      </c>
      <c r="E374" t="s">
        <v>8221</v>
      </c>
      <c r="F374">
        <v>12</v>
      </c>
    </row>
    <row r="375" spans="2:6" x14ac:dyDescent="0.2">
      <c r="B375" t="s">
        <v>8219</v>
      </c>
      <c r="C375">
        <v>302</v>
      </c>
      <c r="E375" t="s">
        <v>8221</v>
      </c>
      <c r="F375">
        <v>12</v>
      </c>
    </row>
    <row r="376" spans="2:6" x14ac:dyDescent="0.2">
      <c r="B376" t="s">
        <v>8219</v>
      </c>
      <c r="C376">
        <v>301</v>
      </c>
      <c r="E376" t="s">
        <v>8221</v>
      </c>
      <c r="F376">
        <v>12</v>
      </c>
    </row>
    <row r="377" spans="2:6" x14ac:dyDescent="0.2">
      <c r="B377" t="s">
        <v>8219</v>
      </c>
      <c r="C377">
        <v>299</v>
      </c>
      <c r="E377" t="s">
        <v>8221</v>
      </c>
      <c r="F377">
        <v>12</v>
      </c>
    </row>
    <row r="378" spans="2:6" x14ac:dyDescent="0.2">
      <c r="B378" t="s">
        <v>8219</v>
      </c>
      <c r="C378">
        <v>298</v>
      </c>
      <c r="E378" t="s">
        <v>8221</v>
      </c>
      <c r="F378">
        <v>12</v>
      </c>
    </row>
    <row r="379" spans="2:6" x14ac:dyDescent="0.2">
      <c r="B379" t="s">
        <v>8219</v>
      </c>
      <c r="C379">
        <v>296</v>
      </c>
      <c r="E379" t="s">
        <v>8221</v>
      </c>
      <c r="F379">
        <v>12</v>
      </c>
    </row>
    <row r="380" spans="2:6" x14ac:dyDescent="0.2">
      <c r="B380" t="s">
        <v>8219</v>
      </c>
      <c r="C380">
        <v>294</v>
      </c>
      <c r="E380" t="s">
        <v>8221</v>
      </c>
      <c r="F380">
        <v>12</v>
      </c>
    </row>
    <row r="381" spans="2:6" x14ac:dyDescent="0.2">
      <c r="B381" t="s">
        <v>8219</v>
      </c>
      <c r="C381">
        <v>294</v>
      </c>
      <c r="E381" t="s">
        <v>8221</v>
      </c>
      <c r="F381">
        <v>12</v>
      </c>
    </row>
    <row r="382" spans="2:6" x14ac:dyDescent="0.2">
      <c r="B382" t="s">
        <v>8219</v>
      </c>
      <c r="C382">
        <v>293</v>
      </c>
      <c r="E382" t="s">
        <v>8221</v>
      </c>
      <c r="F382">
        <v>12</v>
      </c>
    </row>
    <row r="383" spans="2:6" x14ac:dyDescent="0.2">
      <c r="B383" t="s">
        <v>8219</v>
      </c>
      <c r="C383">
        <v>290</v>
      </c>
      <c r="E383" t="s">
        <v>8221</v>
      </c>
      <c r="F383">
        <v>12</v>
      </c>
    </row>
    <row r="384" spans="2:6" x14ac:dyDescent="0.2">
      <c r="B384" t="s">
        <v>8219</v>
      </c>
      <c r="C384">
        <v>290</v>
      </c>
      <c r="E384" t="s">
        <v>8221</v>
      </c>
      <c r="F384">
        <v>12</v>
      </c>
    </row>
    <row r="385" spans="2:6" x14ac:dyDescent="0.2">
      <c r="B385" t="s">
        <v>8219</v>
      </c>
      <c r="C385">
        <v>290</v>
      </c>
      <c r="E385" t="s">
        <v>8221</v>
      </c>
      <c r="F385">
        <v>12</v>
      </c>
    </row>
    <row r="386" spans="2:6" x14ac:dyDescent="0.2">
      <c r="B386" t="s">
        <v>8219</v>
      </c>
      <c r="C386">
        <v>288</v>
      </c>
      <c r="E386" t="s">
        <v>8221</v>
      </c>
      <c r="F386">
        <v>12</v>
      </c>
    </row>
    <row r="387" spans="2:6" x14ac:dyDescent="0.2">
      <c r="B387" t="s">
        <v>8219</v>
      </c>
      <c r="C387">
        <v>288</v>
      </c>
      <c r="E387" t="s">
        <v>8221</v>
      </c>
      <c r="F387">
        <v>12</v>
      </c>
    </row>
    <row r="388" spans="2:6" x14ac:dyDescent="0.2">
      <c r="B388" t="s">
        <v>8219</v>
      </c>
      <c r="C388">
        <v>287</v>
      </c>
      <c r="E388" t="s">
        <v>8221</v>
      </c>
      <c r="F388">
        <v>12</v>
      </c>
    </row>
    <row r="389" spans="2:6" x14ac:dyDescent="0.2">
      <c r="B389" t="s">
        <v>8219</v>
      </c>
      <c r="C389">
        <v>286</v>
      </c>
      <c r="E389" t="s">
        <v>8221</v>
      </c>
      <c r="F389">
        <v>12</v>
      </c>
    </row>
    <row r="390" spans="2:6" x14ac:dyDescent="0.2">
      <c r="B390" t="s">
        <v>8219</v>
      </c>
      <c r="C390">
        <v>286</v>
      </c>
      <c r="E390" t="s">
        <v>8221</v>
      </c>
      <c r="F390">
        <v>12</v>
      </c>
    </row>
    <row r="391" spans="2:6" x14ac:dyDescent="0.2">
      <c r="B391" t="s">
        <v>8219</v>
      </c>
      <c r="C391">
        <v>286</v>
      </c>
      <c r="E391" t="s">
        <v>8221</v>
      </c>
      <c r="F391">
        <v>12</v>
      </c>
    </row>
    <row r="392" spans="2:6" x14ac:dyDescent="0.2">
      <c r="B392" t="s">
        <v>8219</v>
      </c>
      <c r="C392">
        <v>285</v>
      </c>
      <c r="E392" t="s">
        <v>8221</v>
      </c>
      <c r="F392">
        <v>12</v>
      </c>
    </row>
    <row r="393" spans="2:6" x14ac:dyDescent="0.2">
      <c r="B393" t="s">
        <v>8219</v>
      </c>
      <c r="C393">
        <v>284</v>
      </c>
      <c r="E393" t="s">
        <v>8221</v>
      </c>
      <c r="F393">
        <v>12</v>
      </c>
    </row>
    <row r="394" spans="2:6" x14ac:dyDescent="0.2">
      <c r="B394" t="s">
        <v>8219</v>
      </c>
      <c r="C394">
        <v>284</v>
      </c>
      <c r="E394" t="s">
        <v>8221</v>
      </c>
      <c r="F394">
        <v>12</v>
      </c>
    </row>
    <row r="395" spans="2:6" x14ac:dyDescent="0.2">
      <c r="B395" t="s">
        <v>8219</v>
      </c>
      <c r="C395">
        <v>284</v>
      </c>
      <c r="E395" t="s">
        <v>8221</v>
      </c>
      <c r="F395">
        <v>12</v>
      </c>
    </row>
    <row r="396" spans="2:6" x14ac:dyDescent="0.2">
      <c r="B396" t="s">
        <v>8219</v>
      </c>
      <c r="C396">
        <v>283</v>
      </c>
      <c r="E396" t="s">
        <v>8221</v>
      </c>
      <c r="F396">
        <v>12</v>
      </c>
    </row>
    <row r="397" spans="2:6" x14ac:dyDescent="0.2">
      <c r="B397" t="s">
        <v>8219</v>
      </c>
      <c r="C397">
        <v>282</v>
      </c>
      <c r="E397" t="s">
        <v>8221</v>
      </c>
      <c r="F397">
        <v>12</v>
      </c>
    </row>
    <row r="398" spans="2:6" x14ac:dyDescent="0.2">
      <c r="B398" t="s">
        <v>8219</v>
      </c>
      <c r="C398">
        <v>280</v>
      </c>
      <c r="E398" t="s">
        <v>8221</v>
      </c>
      <c r="F398">
        <v>12</v>
      </c>
    </row>
    <row r="399" spans="2:6" x14ac:dyDescent="0.2">
      <c r="B399" t="s">
        <v>8219</v>
      </c>
      <c r="C399">
        <v>279</v>
      </c>
      <c r="E399" t="s">
        <v>8221</v>
      </c>
      <c r="F399">
        <v>12</v>
      </c>
    </row>
    <row r="400" spans="2:6" x14ac:dyDescent="0.2">
      <c r="B400" t="s">
        <v>8219</v>
      </c>
      <c r="C400">
        <v>278</v>
      </c>
      <c r="E400" t="s">
        <v>8221</v>
      </c>
      <c r="F400">
        <v>12</v>
      </c>
    </row>
    <row r="401" spans="2:6" x14ac:dyDescent="0.2">
      <c r="B401" t="s">
        <v>8219</v>
      </c>
      <c r="C401">
        <v>277</v>
      </c>
      <c r="E401" t="s">
        <v>8221</v>
      </c>
      <c r="F401">
        <v>12</v>
      </c>
    </row>
    <row r="402" spans="2:6" x14ac:dyDescent="0.2">
      <c r="B402" t="s">
        <v>8219</v>
      </c>
      <c r="C402">
        <v>276</v>
      </c>
      <c r="E402" t="s">
        <v>8221</v>
      </c>
      <c r="F402">
        <v>12</v>
      </c>
    </row>
    <row r="403" spans="2:6" x14ac:dyDescent="0.2">
      <c r="B403" t="s">
        <v>8219</v>
      </c>
      <c r="C403">
        <v>275</v>
      </c>
      <c r="E403" t="s">
        <v>8221</v>
      </c>
      <c r="F403">
        <v>12</v>
      </c>
    </row>
    <row r="404" spans="2:6" x14ac:dyDescent="0.2">
      <c r="B404" t="s">
        <v>8219</v>
      </c>
      <c r="C404">
        <v>274</v>
      </c>
      <c r="E404" t="s">
        <v>8221</v>
      </c>
      <c r="F404">
        <v>11</v>
      </c>
    </row>
    <row r="405" spans="2:6" x14ac:dyDescent="0.2">
      <c r="B405" t="s">
        <v>8219</v>
      </c>
      <c r="C405">
        <v>274</v>
      </c>
      <c r="E405" t="s">
        <v>8221</v>
      </c>
      <c r="F405">
        <v>11</v>
      </c>
    </row>
    <row r="406" spans="2:6" x14ac:dyDescent="0.2">
      <c r="B406" t="s">
        <v>8219</v>
      </c>
      <c r="C406">
        <v>274</v>
      </c>
      <c r="E406" t="s">
        <v>8221</v>
      </c>
      <c r="F406">
        <v>11</v>
      </c>
    </row>
    <row r="407" spans="2:6" x14ac:dyDescent="0.2">
      <c r="B407" t="s">
        <v>8219</v>
      </c>
      <c r="C407">
        <v>273</v>
      </c>
      <c r="E407" t="s">
        <v>8221</v>
      </c>
      <c r="F407">
        <v>11</v>
      </c>
    </row>
    <row r="408" spans="2:6" x14ac:dyDescent="0.2">
      <c r="B408" t="s">
        <v>8219</v>
      </c>
      <c r="C408">
        <v>271</v>
      </c>
      <c r="E408" t="s">
        <v>8221</v>
      </c>
      <c r="F408">
        <v>11</v>
      </c>
    </row>
    <row r="409" spans="2:6" x14ac:dyDescent="0.2">
      <c r="B409" t="s">
        <v>8219</v>
      </c>
      <c r="C409">
        <v>271</v>
      </c>
      <c r="E409" t="s">
        <v>8221</v>
      </c>
      <c r="F409">
        <v>11</v>
      </c>
    </row>
    <row r="410" spans="2:6" x14ac:dyDescent="0.2">
      <c r="B410" t="s">
        <v>8219</v>
      </c>
      <c r="C410">
        <v>271</v>
      </c>
      <c r="E410" t="s">
        <v>8221</v>
      </c>
      <c r="F410">
        <v>11</v>
      </c>
    </row>
    <row r="411" spans="2:6" x14ac:dyDescent="0.2">
      <c r="B411" t="s">
        <v>8219</v>
      </c>
      <c r="C411">
        <v>271</v>
      </c>
      <c r="E411" t="s">
        <v>8221</v>
      </c>
      <c r="F411">
        <v>11</v>
      </c>
    </row>
    <row r="412" spans="2:6" x14ac:dyDescent="0.2">
      <c r="B412" t="s">
        <v>8219</v>
      </c>
      <c r="C412">
        <v>270</v>
      </c>
      <c r="E412" t="s">
        <v>8221</v>
      </c>
      <c r="F412">
        <v>11</v>
      </c>
    </row>
    <row r="413" spans="2:6" x14ac:dyDescent="0.2">
      <c r="B413" t="s">
        <v>8219</v>
      </c>
      <c r="C413">
        <v>269</v>
      </c>
      <c r="E413" t="s">
        <v>8221</v>
      </c>
      <c r="F413">
        <v>11</v>
      </c>
    </row>
    <row r="414" spans="2:6" x14ac:dyDescent="0.2">
      <c r="B414" t="s">
        <v>8219</v>
      </c>
      <c r="C414">
        <v>269</v>
      </c>
      <c r="E414" t="s">
        <v>8221</v>
      </c>
      <c r="F414">
        <v>11</v>
      </c>
    </row>
    <row r="415" spans="2:6" x14ac:dyDescent="0.2">
      <c r="B415" t="s">
        <v>8219</v>
      </c>
      <c r="C415">
        <v>269</v>
      </c>
      <c r="E415" t="s">
        <v>8221</v>
      </c>
      <c r="F415">
        <v>11</v>
      </c>
    </row>
    <row r="416" spans="2:6" x14ac:dyDescent="0.2">
      <c r="B416" t="s">
        <v>8219</v>
      </c>
      <c r="C416">
        <v>267</v>
      </c>
      <c r="E416" t="s">
        <v>8221</v>
      </c>
      <c r="F416">
        <v>11</v>
      </c>
    </row>
    <row r="417" spans="2:6" x14ac:dyDescent="0.2">
      <c r="B417" t="s">
        <v>8219</v>
      </c>
      <c r="C417">
        <v>266</v>
      </c>
      <c r="E417" t="s">
        <v>8221</v>
      </c>
      <c r="F417">
        <v>11</v>
      </c>
    </row>
    <row r="418" spans="2:6" x14ac:dyDescent="0.2">
      <c r="B418" t="s">
        <v>8219</v>
      </c>
      <c r="C418">
        <v>266</v>
      </c>
      <c r="E418" t="s">
        <v>8221</v>
      </c>
      <c r="F418">
        <v>11</v>
      </c>
    </row>
    <row r="419" spans="2:6" x14ac:dyDescent="0.2">
      <c r="B419" t="s">
        <v>8219</v>
      </c>
      <c r="C419">
        <v>265</v>
      </c>
      <c r="E419" t="s">
        <v>8221</v>
      </c>
      <c r="F419">
        <v>11</v>
      </c>
    </row>
    <row r="420" spans="2:6" x14ac:dyDescent="0.2">
      <c r="B420" t="s">
        <v>8219</v>
      </c>
      <c r="C420">
        <v>265</v>
      </c>
      <c r="E420" t="s">
        <v>8221</v>
      </c>
      <c r="F420">
        <v>11</v>
      </c>
    </row>
    <row r="421" spans="2:6" x14ac:dyDescent="0.2">
      <c r="B421" t="s">
        <v>8219</v>
      </c>
      <c r="C421">
        <v>264</v>
      </c>
      <c r="E421" t="s">
        <v>8221</v>
      </c>
      <c r="F421">
        <v>11</v>
      </c>
    </row>
    <row r="422" spans="2:6" hidden="1" x14ac:dyDescent="0.2">
      <c r="B422" t="s">
        <v>8221</v>
      </c>
      <c r="C422">
        <v>3</v>
      </c>
      <c r="E422" t="s">
        <v>8221</v>
      </c>
      <c r="F422">
        <v>11</v>
      </c>
    </row>
    <row r="423" spans="2:6" hidden="1" x14ac:dyDescent="0.2">
      <c r="B423" t="s">
        <v>8221</v>
      </c>
      <c r="C423">
        <v>6</v>
      </c>
      <c r="E423" t="s">
        <v>8221</v>
      </c>
      <c r="F423">
        <v>11</v>
      </c>
    </row>
    <row r="424" spans="2:6" hidden="1" x14ac:dyDescent="0.2">
      <c r="B424" t="s">
        <v>8221</v>
      </c>
      <c r="C424">
        <v>12</v>
      </c>
      <c r="E424" t="s">
        <v>8221</v>
      </c>
      <c r="F424">
        <v>10</v>
      </c>
    </row>
    <row r="425" spans="2:6" hidden="1" x14ac:dyDescent="0.2">
      <c r="B425" t="s">
        <v>8221</v>
      </c>
      <c r="C425">
        <v>13</v>
      </c>
      <c r="E425" t="s">
        <v>8221</v>
      </c>
      <c r="F425">
        <v>10</v>
      </c>
    </row>
    <row r="426" spans="2:6" hidden="1" x14ac:dyDescent="0.2">
      <c r="B426" t="s">
        <v>8221</v>
      </c>
      <c r="C426">
        <v>5</v>
      </c>
      <c r="E426" t="s">
        <v>8221</v>
      </c>
      <c r="F426">
        <v>10</v>
      </c>
    </row>
    <row r="427" spans="2:6" hidden="1" x14ac:dyDescent="0.2">
      <c r="B427" t="s">
        <v>8221</v>
      </c>
      <c r="C427">
        <v>2</v>
      </c>
      <c r="E427" t="s">
        <v>8221</v>
      </c>
      <c r="F427">
        <v>10</v>
      </c>
    </row>
    <row r="428" spans="2:6" hidden="1" x14ac:dyDescent="0.2">
      <c r="B428" t="s">
        <v>8221</v>
      </c>
      <c r="C428">
        <v>8</v>
      </c>
      <c r="E428" t="s">
        <v>8221</v>
      </c>
      <c r="F428">
        <v>10</v>
      </c>
    </row>
    <row r="429" spans="2:6" hidden="1" x14ac:dyDescent="0.2">
      <c r="B429" t="s">
        <v>8221</v>
      </c>
      <c r="C429">
        <v>0</v>
      </c>
      <c r="E429" t="s">
        <v>8221</v>
      </c>
      <c r="F429">
        <v>10</v>
      </c>
    </row>
    <row r="430" spans="2:6" hidden="1" x14ac:dyDescent="0.2">
      <c r="B430" t="s">
        <v>8221</v>
      </c>
      <c r="C430">
        <v>13</v>
      </c>
      <c r="E430" t="s">
        <v>8221</v>
      </c>
      <c r="F430">
        <v>10</v>
      </c>
    </row>
    <row r="431" spans="2:6" hidden="1" x14ac:dyDescent="0.2">
      <c r="B431" t="s">
        <v>8221</v>
      </c>
      <c r="C431">
        <v>0</v>
      </c>
      <c r="E431" t="s">
        <v>8221</v>
      </c>
      <c r="F431">
        <v>10</v>
      </c>
    </row>
    <row r="432" spans="2:6" hidden="1" x14ac:dyDescent="0.2">
      <c r="B432" t="s">
        <v>8221</v>
      </c>
      <c r="C432">
        <v>5</v>
      </c>
      <c r="E432" t="s">
        <v>8221</v>
      </c>
      <c r="F432">
        <v>10</v>
      </c>
    </row>
    <row r="433" spans="2:6" hidden="1" x14ac:dyDescent="0.2">
      <c r="B433" t="s">
        <v>8221</v>
      </c>
      <c r="C433">
        <v>8</v>
      </c>
      <c r="E433" t="s">
        <v>8221</v>
      </c>
      <c r="F433">
        <v>10</v>
      </c>
    </row>
    <row r="434" spans="2:6" hidden="1" x14ac:dyDescent="0.2">
      <c r="B434" t="s">
        <v>8221</v>
      </c>
      <c r="C434">
        <v>8</v>
      </c>
      <c r="E434" t="s">
        <v>8221</v>
      </c>
      <c r="F434">
        <v>10</v>
      </c>
    </row>
    <row r="435" spans="2:6" hidden="1" x14ac:dyDescent="0.2">
      <c r="B435" t="s">
        <v>8221</v>
      </c>
      <c r="C435">
        <v>0</v>
      </c>
      <c r="E435" t="s">
        <v>8221</v>
      </c>
      <c r="F435">
        <v>10</v>
      </c>
    </row>
    <row r="436" spans="2:6" hidden="1" x14ac:dyDescent="0.2">
      <c r="B436" t="s">
        <v>8221</v>
      </c>
      <c r="C436">
        <v>2</v>
      </c>
      <c r="E436" t="s">
        <v>8221</v>
      </c>
      <c r="F436">
        <v>10</v>
      </c>
    </row>
    <row r="437" spans="2:6" hidden="1" x14ac:dyDescent="0.2">
      <c r="B437" t="s">
        <v>8221</v>
      </c>
      <c r="C437">
        <v>3</v>
      </c>
      <c r="E437" t="s">
        <v>8221</v>
      </c>
      <c r="F437">
        <v>10</v>
      </c>
    </row>
    <row r="438" spans="2:6" hidden="1" x14ac:dyDescent="0.2">
      <c r="B438" t="s">
        <v>8221</v>
      </c>
      <c r="C438">
        <v>0</v>
      </c>
      <c r="E438" t="s">
        <v>8221</v>
      </c>
      <c r="F438">
        <v>10</v>
      </c>
    </row>
    <row r="439" spans="2:6" hidden="1" x14ac:dyDescent="0.2">
      <c r="B439" t="s">
        <v>8221</v>
      </c>
      <c r="C439">
        <v>0</v>
      </c>
      <c r="E439" t="s">
        <v>8221</v>
      </c>
      <c r="F439">
        <v>10</v>
      </c>
    </row>
    <row r="440" spans="2:6" hidden="1" x14ac:dyDescent="0.2">
      <c r="B440" t="s">
        <v>8221</v>
      </c>
      <c r="C440">
        <v>11</v>
      </c>
      <c r="E440" t="s">
        <v>8221</v>
      </c>
      <c r="F440">
        <v>10</v>
      </c>
    </row>
    <row r="441" spans="2:6" hidden="1" x14ac:dyDescent="0.2">
      <c r="B441" t="s">
        <v>8221</v>
      </c>
      <c r="C441">
        <v>0</v>
      </c>
      <c r="E441" t="s">
        <v>8221</v>
      </c>
      <c r="F441">
        <v>10</v>
      </c>
    </row>
    <row r="442" spans="2:6" hidden="1" x14ac:dyDescent="0.2">
      <c r="B442" t="s">
        <v>8221</v>
      </c>
      <c r="C442">
        <v>1</v>
      </c>
      <c r="E442" t="s">
        <v>8221</v>
      </c>
      <c r="F442">
        <v>10</v>
      </c>
    </row>
    <row r="443" spans="2:6" hidden="1" x14ac:dyDescent="0.2">
      <c r="B443" t="s">
        <v>8221</v>
      </c>
      <c r="C443">
        <v>0</v>
      </c>
      <c r="E443" t="s">
        <v>8221</v>
      </c>
      <c r="F443">
        <v>10</v>
      </c>
    </row>
    <row r="444" spans="2:6" hidden="1" x14ac:dyDescent="0.2">
      <c r="B444" t="s">
        <v>8221</v>
      </c>
      <c r="C444">
        <v>17</v>
      </c>
      <c r="E444" t="s">
        <v>8221</v>
      </c>
      <c r="F444">
        <v>10</v>
      </c>
    </row>
    <row r="445" spans="2:6" hidden="1" x14ac:dyDescent="0.2">
      <c r="B445" t="s">
        <v>8221</v>
      </c>
      <c r="C445">
        <v>2</v>
      </c>
      <c r="E445" t="s">
        <v>8221</v>
      </c>
      <c r="F445">
        <v>10</v>
      </c>
    </row>
    <row r="446" spans="2:6" hidden="1" x14ac:dyDescent="0.2">
      <c r="B446" t="s">
        <v>8221</v>
      </c>
      <c r="C446">
        <v>1</v>
      </c>
      <c r="E446" t="s">
        <v>8221</v>
      </c>
      <c r="F446">
        <v>10</v>
      </c>
    </row>
    <row r="447" spans="2:6" hidden="1" x14ac:dyDescent="0.2">
      <c r="B447" t="s">
        <v>8221</v>
      </c>
      <c r="C447">
        <v>2</v>
      </c>
      <c r="E447" t="s">
        <v>8221</v>
      </c>
      <c r="F447">
        <v>10</v>
      </c>
    </row>
    <row r="448" spans="2:6" hidden="1" x14ac:dyDescent="0.2">
      <c r="B448" t="s">
        <v>8221</v>
      </c>
      <c r="C448">
        <v>16</v>
      </c>
      <c r="E448" t="s">
        <v>8221</v>
      </c>
      <c r="F448">
        <v>10</v>
      </c>
    </row>
    <row r="449" spans="2:6" hidden="1" x14ac:dyDescent="0.2">
      <c r="B449" t="s">
        <v>8221</v>
      </c>
      <c r="C449">
        <v>1</v>
      </c>
      <c r="E449" t="s">
        <v>8221</v>
      </c>
      <c r="F449">
        <v>10</v>
      </c>
    </row>
    <row r="450" spans="2:6" hidden="1" x14ac:dyDescent="0.2">
      <c r="B450" t="s">
        <v>8221</v>
      </c>
      <c r="C450">
        <v>4</v>
      </c>
      <c r="E450" t="s">
        <v>8221</v>
      </c>
      <c r="F450">
        <v>10</v>
      </c>
    </row>
    <row r="451" spans="2:6" hidden="1" x14ac:dyDescent="0.2">
      <c r="B451" t="s">
        <v>8221</v>
      </c>
      <c r="C451">
        <v>5</v>
      </c>
      <c r="E451" t="s">
        <v>8221</v>
      </c>
      <c r="F451">
        <v>9</v>
      </c>
    </row>
    <row r="452" spans="2:6" hidden="1" x14ac:dyDescent="0.2">
      <c r="B452" t="s">
        <v>8221</v>
      </c>
      <c r="C452">
        <v>7</v>
      </c>
      <c r="E452" t="s">
        <v>8221</v>
      </c>
      <c r="F452">
        <v>9</v>
      </c>
    </row>
    <row r="453" spans="2:6" hidden="1" x14ac:dyDescent="0.2">
      <c r="B453" t="s">
        <v>8221</v>
      </c>
      <c r="C453">
        <v>0</v>
      </c>
      <c r="E453" t="s">
        <v>8221</v>
      </c>
      <c r="F453">
        <v>9</v>
      </c>
    </row>
    <row r="454" spans="2:6" hidden="1" x14ac:dyDescent="0.2">
      <c r="B454" t="s">
        <v>8221</v>
      </c>
      <c r="C454">
        <v>12</v>
      </c>
      <c r="E454" t="s">
        <v>8221</v>
      </c>
      <c r="F454">
        <v>9</v>
      </c>
    </row>
    <row r="455" spans="2:6" hidden="1" x14ac:dyDescent="0.2">
      <c r="B455" t="s">
        <v>8221</v>
      </c>
      <c r="C455">
        <v>2</v>
      </c>
      <c r="E455" t="s">
        <v>8221</v>
      </c>
      <c r="F455">
        <v>9</v>
      </c>
    </row>
    <row r="456" spans="2:6" hidden="1" x14ac:dyDescent="0.2">
      <c r="B456" t="s">
        <v>8221</v>
      </c>
      <c r="C456">
        <v>5</v>
      </c>
      <c r="E456" t="s">
        <v>8221</v>
      </c>
      <c r="F456">
        <v>9</v>
      </c>
    </row>
    <row r="457" spans="2:6" hidden="1" x14ac:dyDescent="0.2">
      <c r="B457" t="s">
        <v>8221</v>
      </c>
      <c r="C457">
        <v>2</v>
      </c>
      <c r="E457" t="s">
        <v>8221</v>
      </c>
      <c r="F457">
        <v>9</v>
      </c>
    </row>
    <row r="458" spans="2:6" hidden="1" x14ac:dyDescent="0.2">
      <c r="B458" t="s">
        <v>8221</v>
      </c>
      <c r="C458">
        <v>3</v>
      </c>
      <c r="E458" t="s">
        <v>8221</v>
      </c>
      <c r="F458">
        <v>9</v>
      </c>
    </row>
    <row r="459" spans="2:6" hidden="1" x14ac:dyDescent="0.2">
      <c r="B459" t="s">
        <v>8221</v>
      </c>
      <c r="C459">
        <v>0</v>
      </c>
      <c r="E459" t="s">
        <v>8221</v>
      </c>
      <c r="F459">
        <v>9</v>
      </c>
    </row>
    <row r="460" spans="2:6" hidden="1" x14ac:dyDescent="0.2">
      <c r="B460" t="s">
        <v>8221</v>
      </c>
      <c r="C460">
        <v>49</v>
      </c>
      <c r="E460" t="s">
        <v>8221</v>
      </c>
      <c r="F460">
        <v>9</v>
      </c>
    </row>
    <row r="461" spans="2:6" hidden="1" x14ac:dyDescent="0.2">
      <c r="B461" t="s">
        <v>8221</v>
      </c>
      <c r="C461">
        <v>1</v>
      </c>
      <c r="E461" t="s">
        <v>8221</v>
      </c>
      <c r="F461">
        <v>9</v>
      </c>
    </row>
    <row r="462" spans="2:6" hidden="1" x14ac:dyDescent="0.2">
      <c r="B462" t="s">
        <v>8221</v>
      </c>
      <c r="C462">
        <v>2</v>
      </c>
      <c r="E462" t="s">
        <v>8221</v>
      </c>
      <c r="F462">
        <v>9</v>
      </c>
    </row>
    <row r="463" spans="2:6" hidden="1" x14ac:dyDescent="0.2">
      <c r="B463" t="s">
        <v>8221</v>
      </c>
      <c r="C463">
        <v>0</v>
      </c>
      <c r="E463" t="s">
        <v>8221</v>
      </c>
      <c r="F463">
        <v>9</v>
      </c>
    </row>
    <row r="464" spans="2:6" hidden="1" x14ac:dyDescent="0.2">
      <c r="B464" t="s">
        <v>8221</v>
      </c>
      <c r="C464">
        <v>0</v>
      </c>
      <c r="E464" t="s">
        <v>8221</v>
      </c>
      <c r="F464">
        <v>9</v>
      </c>
    </row>
    <row r="465" spans="2:6" hidden="1" x14ac:dyDescent="0.2">
      <c r="B465" t="s">
        <v>8221</v>
      </c>
      <c r="C465">
        <v>11</v>
      </c>
      <c r="E465" t="s">
        <v>8221</v>
      </c>
      <c r="F465">
        <v>9</v>
      </c>
    </row>
    <row r="466" spans="2:6" hidden="1" x14ac:dyDescent="0.2">
      <c r="B466" t="s">
        <v>8221</v>
      </c>
      <c r="C466">
        <v>1</v>
      </c>
      <c r="E466" t="s">
        <v>8221</v>
      </c>
      <c r="F466">
        <v>9</v>
      </c>
    </row>
    <row r="467" spans="2:6" hidden="1" x14ac:dyDescent="0.2">
      <c r="B467" t="s">
        <v>8221</v>
      </c>
      <c r="C467">
        <v>8</v>
      </c>
      <c r="E467" t="s">
        <v>8221</v>
      </c>
      <c r="F467">
        <v>9</v>
      </c>
    </row>
    <row r="468" spans="2:6" hidden="1" x14ac:dyDescent="0.2">
      <c r="B468" t="s">
        <v>8221</v>
      </c>
      <c r="C468">
        <v>5</v>
      </c>
      <c r="E468" t="s">
        <v>8221</v>
      </c>
      <c r="F468">
        <v>9</v>
      </c>
    </row>
    <row r="469" spans="2:6" hidden="1" x14ac:dyDescent="0.2">
      <c r="B469" t="s">
        <v>8221</v>
      </c>
      <c r="C469">
        <v>39</v>
      </c>
      <c r="E469" t="s">
        <v>8221</v>
      </c>
      <c r="F469">
        <v>9</v>
      </c>
    </row>
    <row r="470" spans="2:6" hidden="1" x14ac:dyDescent="0.2">
      <c r="B470" t="s">
        <v>8221</v>
      </c>
      <c r="C470">
        <v>0</v>
      </c>
      <c r="E470" t="s">
        <v>8221</v>
      </c>
      <c r="F470">
        <v>9</v>
      </c>
    </row>
    <row r="471" spans="2:6" hidden="1" x14ac:dyDescent="0.2">
      <c r="B471" t="s">
        <v>8221</v>
      </c>
      <c r="C471">
        <v>0</v>
      </c>
      <c r="E471" t="s">
        <v>8221</v>
      </c>
      <c r="F471">
        <v>9</v>
      </c>
    </row>
    <row r="472" spans="2:6" hidden="1" x14ac:dyDescent="0.2">
      <c r="B472" t="s">
        <v>8221</v>
      </c>
      <c r="C472">
        <v>2</v>
      </c>
      <c r="E472" t="s">
        <v>8221</v>
      </c>
      <c r="F472">
        <v>9</v>
      </c>
    </row>
    <row r="473" spans="2:6" hidden="1" x14ac:dyDescent="0.2">
      <c r="B473" t="s">
        <v>8221</v>
      </c>
      <c r="C473">
        <v>170</v>
      </c>
      <c r="E473" t="s">
        <v>8221</v>
      </c>
      <c r="F473">
        <v>9</v>
      </c>
    </row>
    <row r="474" spans="2:6" hidden="1" x14ac:dyDescent="0.2">
      <c r="B474" t="s">
        <v>8221</v>
      </c>
      <c r="C474">
        <v>5</v>
      </c>
      <c r="E474" t="s">
        <v>8221</v>
      </c>
      <c r="F474">
        <v>9</v>
      </c>
    </row>
    <row r="475" spans="2:6" hidden="1" x14ac:dyDescent="0.2">
      <c r="B475" t="s">
        <v>8221</v>
      </c>
      <c r="C475">
        <v>14</v>
      </c>
      <c r="E475" t="s">
        <v>8221</v>
      </c>
      <c r="F475">
        <v>9</v>
      </c>
    </row>
    <row r="476" spans="2:6" hidden="1" x14ac:dyDescent="0.2">
      <c r="B476" t="s">
        <v>8221</v>
      </c>
      <c r="C476">
        <v>1</v>
      </c>
      <c r="E476" t="s">
        <v>8221</v>
      </c>
      <c r="F476">
        <v>9</v>
      </c>
    </row>
    <row r="477" spans="2:6" hidden="1" x14ac:dyDescent="0.2">
      <c r="B477" t="s">
        <v>8221</v>
      </c>
      <c r="C477">
        <v>0</v>
      </c>
      <c r="E477" t="s">
        <v>8221</v>
      </c>
      <c r="F477">
        <v>9</v>
      </c>
    </row>
    <row r="478" spans="2:6" hidden="1" x14ac:dyDescent="0.2">
      <c r="B478" t="s">
        <v>8221</v>
      </c>
      <c r="C478">
        <v>124</v>
      </c>
      <c r="E478" t="s">
        <v>8221</v>
      </c>
      <c r="F478">
        <v>9</v>
      </c>
    </row>
    <row r="479" spans="2:6" hidden="1" x14ac:dyDescent="0.2">
      <c r="B479" t="s">
        <v>8221</v>
      </c>
      <c r="C479">
        <v>0</v>
      </c>
      <c r="E479" t="s">
        <v>8221</v>
      </c>
      <c r="F479">
        <v>9</v>
      </c>
    </row>
    <row r="480" spans="2:6" hidden="1" x14ac:dyDescent="0.2">
      <c r="B480" t="s">
        <v>8221</v>
      </c>
      <c r="C480">
        <v>0</v>
      </c>
      <c r="E480" t="s">
        <v>8221</v>
      </c>
      <c r="F480">
        <v>9</v>
      </c>
    </row>
    <row r="481" spans="2:6" hidden="1" x14ac:dyDescent="0.2">
      <c r="B481" t="s">
        <v>8221</v>
      </c>
      <c r="C481">
        <v>55</v>
      </c>
      <c r="E481" t="s">
        <v>8221</v>
      </c>
      <c r="F481">
        <v>9</v>
      </c>
    </row>
    <row r="482" spans="2:6" hidden="1" x14ac:dyDescent="0.2">
      <c r="B482" t="s">
        <v>8221</v>
      </c>
      <c r="C482">
        <v>140</v>
      </c>
      <c r="E482" t="s">
        <v>8221</v>
      </c>
      <c r="F482">
        <v>9</v>
      </c>
    </row>
    <row r="483" spans="2:6" hidden="1" x14ac:dyDescent="0.2">
      <c r="B483" t="s">
        <v>8221</v>
      </c>
      <c r="C483">
        <v>21</v>
      </c>
      <c r="E483" t="s">
        <v>8221</v>
      </c>
      <c r="F483">
        <v>9</v>
      </c>
    </row>
    <row r="484" spans="2:6" hidden="1" x14ac:dyDescent="0.2">
      <c r="B484" t="s">
        <v>8221</v>
      </c>
      <c r="C484">
        <v>1</v>
      </c>
      <c r="E484" t="s">
        <v>8221</v>
      </c>
      <c r="F484">
        <v>9</v>
      </c>
    </row>
    <row r="485" spans="2:6" hidden="1" x14ac:dyDescent="0.2">
      <c r="B485" t="s">
        <v>8221</v>
      </c>
      <c r="C485">
        <v>147</v>
      </c>
      <c r="E485" t="s">
        <v>8221</v>
      </c>
      <c r="F485">
        <v>9</v>
      </c>
    </row>
    <row r="486" spans="2:6" hidden="1" x14ac:dyDescent="0.2">
      <c r="B486" t="s">
        <v>8221</v>
      </c>
      <c r="C486">
        <v>11</v>
      </c>
      <c r="E486" t="s">
        <v>8221</v>
      </c>
      <c r="F486">
        <v>9</v>
      </c>
    </row>
    <row r="487" spans="2:6" hidden="1" x14ac:dyDescent="0.2">
      <c r="B487" t="s">
        <v>8221</v>
      </c>
      <c r="C487">
        <v>125</v>
      </c>
      <c r="E487" t="s">
        <v>8221</v>
      </c>
      <c r="F487">
        <v>8</v>
      </c>
    </row>
    <row r="488" spans="2:6" hidden="1" x14ac:dyDescent="0.2">
      <c r="B488" t="s">
        <v>8221</v>
      </c>
      <c r="C488">
        <v>1</v>
      </c>
      <c r="E488" t="s">
        <v>8221</v>
      </c>
      <c r="F488">
        <v>8</v>
      </c>
    </row>
    <row r="489" spans="2:6" hidden="1" x14ac:dyDescent="0.2">
      <c r="B489" t="s">
        <v>8221</v>
      </c>
      <c r="C489">
        <v>0</v>
      </c>
      <c r="E489" t="s">
        <v>8221</v>
      </c>
      <c r="F489">
        <v>8</v>
      </c>
    </row>
    <row r="490" spans="2:6" hidden="1" x14ac:dyDescent="0.2">
      <c r="B490" t="s">
        <v>8221</v>
      </c>
      <c r="C490">
        <v>0</v>
      </c>
      <c r="E490" t="s">
        <v>8221</v>
      </c>
      <c r="F490">
        <v>8</v>
      </c>
    </row>
    <row r="491" spans="2:6" hidden="1" x14ac:dyDescent="0.2">
      <c r="B491" t="s">
        <v>8221</v>
      </c>
      <c r="C491">
        <v>3</v>
      </c>
      <c r="E491" t="s">
        <v>8221</v>
      </c>
      <c r="F491">
        <v>8</v>
      </c>
    </row>
    <row r="492" spans="2:6" hidden="1" x14ac:dyDescent="0.2">
      <c r="B492" t="s">
        <v>8221</v>
      </c>
      <c r="C492">
        <v>0</v>
      </c>
      <c r="E492" t="s">
        <v>8221</v>
      </c>
      <c r="F492">
        <v>8</v>
      </c>
    </row>
    <row r="493" spans="2:6" hidden="1" x14ac:dyDescent="0.2">
      <c r="B493" t="s">
        <v>8221</v>
      </c>
      <c r="C493">
        <v>0</v>
      </c>
      <c r="E493" t="s">
        <v>8221</v>
      </c>
      <c r="F493">
        <v>8</v>
      </c>
    </row>
    <row r="494" spans="2:6" hidden="1" x14ac:dyDescent="0.2">
      <c r="B494" t="s">
        <v>8221</v>
      </c>
      <c r="C494">
        <v>0</v>
      </c>
      <c r="E494" t="s">
        <v>8221</v>
      </c>
      <c r="F494">
        <v>8</v>
      </c>
    </row>
    <row r="495" spans="2:6" hidden="1" x14ac:dyDescent="0.2">
      <c r="B495" t="s">
        <v>8221</v>
      </c>
      <c r="C495">
        <v>0</v>
      </c>
      <c r="E495" t="s">
        <v>8221</v>
      </c>
      <c r="F495">
        <v>8</v>
      </c>
    </row>
    <row r="496" spans="2:6" hidden="1" x14ac:dyDescent="0.2">
      <c r="B496" t="s">
        <v>8221</v>
      </c>
      <c r="C496">
        <v>3</v>
      </c>
      <c r="E496" t="s">
        <v>8221</v>
      </c>
      <c r="F496">
        <v>8</v>
      </c>
    </row>
    <row r="497" spans="2:6" hidden="1" x14ac:dyDescent="0.2">
      <c r="B497" t="s">
        <v>8221</v>
      </c>
      <c r="C497">
        <v>0</v>
      </c>
      <c r="E497" t="s">
        <v>8221</v>
      </c>
      <c r="F497">
        <v>8</v>
      </c>
    </row>
    <row r="498" spans="2:6" hidden="1" x14ac:dyDescent="0.2">
      <c r="B498" t="s">
        <v>8221</v>
      </c>
      <c r="C498">
        <v>1</v>
      </c>
      <c r="E498" t="s">
        <v>8221</v>
      </c>
      <c r="F498">
        <v>8</v>
      </c>
    </row>
    <row r="499" spans="2:6" hidden="1" x14ac:dyDescent="0.2">
      <c r="B499" t="s">
        <v>8221</v>
      </c>
      <c r="C499">
        <v>3</v>
      </c>
      <c r="E499" t="s">
        <v>8221</v>
      </c>
      <c r="F499">
        <v>8</v>
      </c>
    </row>
    <row r="500" spans="2:6" hidden="1" x14ac:dyDescent="0.2">
      <c r="B500" t="s">
        <v>8221</v>
      </c>
      <c r="C500">
        <v>22</v>
      </c>
      <c r="E500" t="s">
        <v>8221</v>
      </c>
      <c r="F500">
        <v>8</v>
      </c>
    </row>
    <row r="501" spans="2:6" hidden="1" x14ac:dyDescent="0.2">
      <c r="B501" t="s">
        <v>8221</v>
      </c>
      <c r="C501">
        <v>26</v>
      </c>
      <c r="E501" t="s">
        <v>8221</v>
      </c>
      <c r="F501">
        <v>8</v>
      </c>
    </row>
    <row r="502" spans="2:6" hidden="1" x14ac:dyDescent="0.2">
      <c r="B502" t="s">
        <v>8221</v>
      </c>
      <c r="C502">
        <v>4</v>
      </c>
      <c r="E502" t="s">
        <v>8221</v>
      </c>
      <c r="F502">
        <v>8</v>
      </c>
    </row>
    <row r="503" spans="2:6" hidden="1" x14ac:dyDescent="0.2">
      <c r="B503" t="s">
        <v>8221</v>
      </c>
      <c r="C503">
        <v>0</v>
      </c>
      <c r="E503" t="s">
        <v>8221</v>
      </c>
      <c r="F503">
        <v>8</v>
      </c>
    </row>
    <row r="504" spans="2:6" hidden="1" x14ac:dyDescent="0.2">
      <c r="B504" t="s">
        <v>8221</v>
      </c>
      <c r="C504">
        <v>4</v>
      </c>
      <c r="E504" t="s">
        <v>8221</v>
      </c>
      <c r="F504">
        <v>8</v>
      </c>
    </row>
    <row r="505" spans="2:6" hidden="1" x14ac:dyDescent="0.2">
      <c r="B505" t="s">
        <v>8221</v>
      </c>
      <c r="C505">
        <v>9</v>
      </c>
      <c r="E505" t="s">
        <v>8221</v>
      </c>
      <c r="F505">
        <v>8</v>
      </c>
    </row>
    <row r="506" spans="2:6" hidden="1" x14ac:dyDescent="0.2">
      <c r="B506" t="s">
        <v>8221</v>
      </c>
      <c r="C506">
        <v>5</v>
      </c>
      <c r="E506" t="s">
        <v>8221</v>
      </c>
      <c r="F506">
        <v>8</v>
      </c>
    </row>
    <row r="507" spans="2:6" hidden="1" x14ac:dyDescent="0.2">
      <c r="B507" t="s">
        <v>8221</v>
      </c>
      <c r="C507">
        <v>14</v>
      </c>
      <c r="E507" t="s">
        <v>8221</v>
      </c>
      <c r="F507">
        <v>8</v>
      </c>
    </row>
    <row r="508" spans="2:6" hidden="1" x14ac:dyDescent="0.2">
      <c r="B508" t="s">
        <v>8221</v>
      </c>
      <c r="C508">
        <v>1</v>
      </c>
      <c r="E508" t="s">
        <v>8221</v>
      </c>
      <c r="F508">
        <v>8</v>
      </c>
    </row>
    <row r="509" spans="2:6" hidden="1" x14ac:dyDescent="0.2">
      <c r="B509" t="s">
        <v>8221</v>
      </c>
      <c r="C509">
        <v>10</v>
      </c>
      <c r="E509" t="s">
        <v>8221</v>
      </c>
      <c r="F509">
        <v>8</v>
      </c>
    </row>
    <row r="510" spans="2:6" hidden="1" x14ac:dyDescent="0.2">
      <c r="B510" t="s">
        <v>8221</v>
      </c>
      <c r="C510">
        <v>3</v>
      </c>
      <c r="E510" t="s">
        <v>8221</v>
      </c>
      <c r="F510">
        <v>8</v>
      </c>
    </row>
    <row r="511" spans="2:6" hidden="1" x14ac:dyDescent="0.2">
      <c r="B511" t="s">
        <v>8221</v>
      </c>
      <c r="C511">
        <v>1</v>
      </c>
      <c r="E511" t="s">
        <v>8221</v>
      </c>
      <c r="F511">
        <v>8</v>
      </c>
    </row>
    <row r="512" spans="2:6" hidden="1" x14ac:dyDescent="0.2">
      <c r="B512" t="s">
        <v>8221</v>
      </c>
      <c r="C512">
        <v>0</v>
      </c>
      <c r="E512" t="s">
        <v>8221</v>
      </c>
      <c r="F512">
        <v>8</v>
      </c>
    </row>
    <row r="513" spans="2:6" hidden="1" x14ac:dyDescent="0.2">
      <c r="B513" t="s">
        <v>8221</v>
      </c>
      <c r="C513">
        <v>5</v>
      </c>
      <c r="E513" t="s">
        <v>8221</v>
      </c>
      <c r="F513">
        <v>8</v>
      </c>
    </row>
    <row r="514" spans="2:6" hidden="1" x14ac:dyDescent="0.2">
      <c r="B514" t="s">
        <v>8221</v>
      </c>
      <c r="C514">
        <v>2</v>
      </c>
      <c r="E514" t="s">
        <v>8221</v>
      </c>
      <c r="F514">
        <v>8</v>
      </c>
    </row>
    <row r="515" spans="2:6" hidden="1" x14ac:dyDescent="0.2">
      <c r="B515" t="s">
        <v>8221</v>
      </c>
      <c r="C515">
        <v>68</v>
      </c>
      <c r="E515" t="s">
        <v>8221</v>
      </c>
      <c r="F515">
        <v>8</v>
      </c>
    </row>
    <row r="516" spans="2:6" hidden="1" x14ac:dyDescent="0.2">
      <c r="B516" t="s">
        <v>8221</v>
      </c>
      <c r="C516">
        <v>3</v>
      </c>
      <c r="E516" t="s">
        <v>8221</v>
      </c>
      <c r="F516">
        <v>8</v>
      </c>
    </row>
    <row r="517" spans="2:6" hidden="1" x14ac:dyDescent="0.2">
      <c r="B517" t="s">
        <v>8221</v>
      </c>
      <c r="C517">
        <v>34</v>
      </c>
      <c r="E517" t="s">
        <v>8221</v>
      </c>
      <c r="F517">
        <v>8</v>
      </c>
    </row>
    <row r="518" spans="2:6" hidden="1" x14ac:dyDescent="0.2">
      <c r="B518" t="s">
        <v>8221</v>
      </c>
      <c r="C518">
        <v>0</v>
      </c>
      <c r="E518" t="s">
        <v>8221</v>
      </c>
      <c r="F518">
        <v>8</v>
      </c>
    </row>
    <row r="519" spans="2:6" hidden="1" x14ac:dyDescent="0.2">
      <c r="B519" t="s">
        <v>8221</v>
      </c>
      <c r="C519">
        <v>3</v>
      </c>
      <c r="E519" t="s">
        <v>8221</v>
      </c>
      <c r="F519">
        <v>8</v>
      </c>
    </row>
    <row r="520" spans="2:6" hidden="1" x14ac:dyDescent="0.2">
      <c r="B520" t="s">
        <v>8221</v>
      </c>
      <c r="C520">
        <v>0</v>
      </c>
      <c r="E520" t="s">
        <v>8221</v>
      </c>
      <c r="F520">
        <v>8</v>
      </c>
    </row>
    <row r="521" spans="2:6" hidden="1" x14ac:dyDescent="0.2">
      <c r="B521" t="s">
        <v>8221</v>
      </c>
      <c r="C521">
        <v>70</v>
      </c>
      <c r="E521" t="s">
        <v>8221</v>
      </c>
      <c r="F521">
        <v>8</v>
      </c>
    </row>
    <row r="522" spans="2:6" x14ac:dyDescent="0.2">
      <c r="B522" t="s">
        <v>8219</v>
      </c>
      <c r="C522">
        <v>263</v>
      </c>
      <c r="E522" t="s">
        <v>8221</v>
      </c>
      <c r="F522">
        <v>8</v>
      </c>
    </row>
    <row r="523" spans="2:6" x14ac:dyDescent="0.2">
      <c r="B523" t="s">
        <v>8219</v>
      </c>
      <c r="C523">
        <v>263</v>
      </c>
      <c r="E523" t="s">
        <v>8221</v>
      </c>
      <c r="F523">
        <v>8</v>
      </c>
    </row>
    <row r="524" spans="2:6" x14ac:dyDescent="0.2">
      <c r="B524" t="s">
        <v>8219</v>
      </c>
      <c r="C524">
        <v>263</v>
      </c>
      <c r="E524" t="s">
        <v>8221</v>
      </c>
      <c r="F524">
        <v>8</v>
      </c>
    </row>
    <row r="525" spans="2:6" x14ac:dyDescent="0.2">
      <c r="B525" t="s">
        <v>8219</v>
      </c>
      <c r="C525">
        <v>263</v>
      </c>
      <c r="E525" t="s">
        <v>8221</v>
      </c>
      <c r="F525">
        <v>7</v>
      </c>
    </row>
    <row r="526" spans="2:6" x14ac:dyDescent="0.2">
      <c r="B526" t="s">
        <v>8219</v>
      </c>
      <c r="C526">
        <v>263</v>
      </c>
      <c r="E526" t="s">
        <v>8221</v>
      </c>
      <c r="F526">
        <v>7</v>
      </c>
    </row>
    <row r="527" spans="2:6" x14ac:dyDescent="0.2">
      <c r="B527" t="s">
        <v>8219</v>
      </c>
      <c r="C527">
        <v>259</v>
      </c>
      <c r="E527" t="s">
        <v>8221</v>
      </c>
      <c r="F527">
        <v>7</v>
      </c>
    </row>
    <row r="528" spans="2:6" x14ac:dyDescent="0.2">
      <c r="B528" t="s">
        <v>8219</v>
      </c>
      <c r="C528">
        <v>255</v>
      </c>
      <c r="E528" t="s">
        <v>8221</v>
      </c>
      <c r="F528">
        <v>7</v>
      </c>
    </row>
    <row r="529" spans="2:6" x14ac:dyDescent="0.2">
      <c r="B529" t="s">
        <v>8219</v>
      </c>
      <c r="C529">
        <v>253</v>
      </c>
      <c r="E529" t="s">
        <v>8221</v>
      </c>
      <c r="F529">
        <v>7</v>
      </c>
    </row>
    <row r="530" spans="2:6" x14ac:dyDescent="0.2">
      <c r="B530" t="s">
        <v>8219</v>
      </c>
      <c r="C530">
        <v>253</v>
      </c>
      <c r="E530" t="s">
        <v>8221</v>
      </c>
      <c r="F530">
        <v>7</v>
      </c>
    </row>
    <row r="531" spans="2:6" x14ac:dyDescent="0.2">
      <c r="B531" t="s">
        <v>8219</v>
      </c>
      <c r="C531">
        <v>253</v>
      </c>
      <c r="E531" t="s">
        <v>8221</v>
      </c>
      <c r="F531">
        <v>7</v>
      </c>
    </row>
    <row r="532" spans="2:6" x14ac:dyDescent="0.2">
      <c r="B532" t="s">
        <v>8219</v>
      </c>
      <c r="C532">
        <v>251</v>
      </c>
      <c r="E532" t="s">
        <v>8221</v>
      </c>
      <c r="F532">
        <v>7</v>
      </c>
    </row>
    <row r="533" spans="2:6" x14ac:dyDescent="0.2">
      <c r="B533" t="s">
        <v>8219</v>
      </c>
      <c r="C533">
        <v>251</v>
      </c>
      <c r="E533" t="s">
        <v>8221</v>
      </c>
      <c r="F533">
        <v>7</v>
      </c>
    </row>
    <row r="534" spans="2:6" x14ac:dyDescent="0.2">
      <c r="B534" t="s">
        <v>8219</v>
      </c>
      <c r="C534">
        <v>251</v>
      </c>
      <c r="E534" t="s">
        <v>8221</v>
      </c>
      <c r="F534">
        <v>7</v>
      </c>
    </row>
    <row r="535" spans="2:6" x14ac:dyDescent="0.2">
      <c r="B535" t="s">
        <v>8219</v>
      </c>
      <c r="C535">
        <v>249</v>
      </c>
      <c r="E535" t="s">
        <v>8221</v>
      </c>
      <c r="F535">
        <v>7</v>
      </c>
    </row>
    <row r="536" spans="2:6" x14ac:dyDescent="0.2">
      <c r="B536" t="s">
        <v>8219</v>
      </c>
      <c r="C536">
        <v>249</v>
      </c>
      <c r="E536" t="s">
        <v>8221</v>
      </c>
      <c r="F536">
        <v>7</v>
      </c>
    </row>
    <row r="537" spans="2:6" x14ac:dyDescent="0.2">
      <c r="B537" t="s">
        <v>8219</v>
      </c>
      <c r="C537">
        <v>248</v>
      </c>
      <c r="E537" t="s">
        <v>8221</v>
      </c>
      <c r="F537">
        <v>7</v>
      </c>
    </row>
    <row r="538" spans="2:6" x14ac:dyDescent="0.2">
      <c r="B538" t="s">
        <v>8219</v>
      </c>
      <c r="C538">
        <v>246</v>
      </c>
      <c r="E538" t="s">
        <v>8221</v>
      </c>
      <c r="F538">
        <v>7</v>
      </c>
    </row>
    <row r="539" spans="2:6" x14ac:dyDescent="0.2">
      <c r="B539" t="s">
        <v>8219</v>
      </c>
      <c r="C539">
        <v>246</v>
      </c>
      <c r="E539" t="s">
        <v>8221</v>
      </c>
      <c r="F539">
        <v>7</v>
      </c>
    </row>
    <row r="540" spans="2:6" x14ac:dyDescent="0.2">
      <c r="B540" t="s">
        <v>8219</v>
      </c>
      <c r="C540">
        <v>244</v>
      </c>
      <c r="E540" t="s">
        <v>8221</v>
      </c>
      <c r="F540">
        <v>7</v>
      </c>
    </row>
    <row r="541" spans="2:6" x14ac:dyDescent="0.2">
      <c r="B541" t="s">
        <v>8219</v>
      </c>
      <c r="C541">
        <v>244</v>
      </c>
      <c r="E541" t="s">
        <v>8221</v>
      </c>
      <c r="F541">
        <v>7</v>
      </c>
    </row>
    <row r="542" spans="2:6" hidden="1" x14ac:dyDescent="0.2">
      <c r="B542" t="s">
        <v>8221</v>
      </c>
      <c r="C542">
        <v>1</v>
      </c>
      <c r="E542" t="s">
        <v>8221</v>
      </c>
      <c r="F542">
        <v>7</v>
      </c>
    </row>
    <row r="543" spans="2:6" hidden="1" x14ac:dyDescent="0.2">
      <c r="B543" t="s">
        <v>8221</v>
      </c>
      <c r="C543">
        <v>1</v>
      </c>
      <c r="E543" t="s">
        <v>8221</v>
      </c>
      <c r="F543">
        <v>7</v>
      </c>
    </row>
    <row r="544" spans="2:6" hidden="1" x14ac:dyDescent="0.2">
      <c r="B544" t="s">
        <v>8221</v>
      </c>
      <c r="C544">
        <v>1</v>
      </c>
      <c r="E544" t="s">
        <v>8221</v>
      </c>
      <c r="F544">
        <v>7</v>
      </c>
    </row>
    <row r="545" spans="2:6" hidden="1" x14ac:dyDescent="0.2">
      <c r="B545" t="s">
        <v>8221</v>
      </c>
      <c r="C545">
        <v>2</v>
      </c>
      <c r="E545" t="s">
        <v>8221</v>
      </c>
      <c r="F545">
        <v>7</v>
      </c>
    </row>
    <row r="546" spans="2:6" hidden="1" x14ac:dyDescent="0.2">
      <c r="B546" t="s">
        <v>8221</v>
      </c>
      <c r="C546">
        <v>2</v>
      </c>
      <c r="E546" t="s">
        <v>8221</v>
      </c>
      <c r="F546">
        <v>7</v>
      </c>
    </row>
    <row r="547" spans="2:6" hidden="1" x14ac:dyDescent="0.2">
      <c r="B547" t="s">
        <v>8221</v>
      </c>
      <c r="C547">
        <v>34</v>
      </c>
      <c r="E547" t="s">
        <v>8221</v>
      </c>
      <c r="F547">
        <v>7</v>
      </c>
    </row>
    <row r="548" spans="2:6" hidden="1" x14ac:dyDescent="0.2">
      <c r="B548" t="s">
        <v>8221</v>
      </c>
      <c r="C548">
        <v>2</v>
      </c>
      <c r="E548" t="s">
        <v>8221</v>
      </c>
      <c r="F548">
        <v>7</v>
      </c>
    </row>
    <row r="549" spans="2:6" hidden="1" x14ac:dyDescent="0.2">
      <c r="B549" t="s">
        <v>8221</v>
      </c>
      <c r="C549">
        <v>0</v>
      </c>
      <c r="E549" t="s">
        <v>8221</v>
      </c>
      <c r="F549">
        <v>7</v>
      </c>
    </row>
    <row r="550" spans="2:6" hidden="1" x14ac:dyDescent="0.2">
      <c r="B550" t="s">
        <v>8221</v>
      </c>
      <c r="C550">
        <v>1</v>
      </c>
      <c r="E550" t="s">
        <v>8221</v>
      </c>
      <c r="F550">
        <v>7</v>
      </c>
    </row>
    <row r="551" spans="2:6" hidden="1" x14ac:dyDescent="0.2">
      <c r="B551" t="s">
        <v>8221</v>
      </c>
      <c r="C551">
        <v>8</v>
      </c>
      <c r="E551" t="s">
        <v>8221</v>
      </c>
      <c r="F551">
        <v>7</v>
      </c>
    </row>
    <row r="552" spans="2:6" hidden="1" x14ac:dyDescent="0.2">
      <c r="B552" t="s">
        <v>8221</v>
      </c>
      <c r="C552">
        <v>4</v>
      </c>
      <c r="E552" t="s">
        <v>8221</v>
      </c>
      <c r="F552">
        <v>7</v>
      </c>
    </row>
    <row r="553" spans="2:6" hidden="1" x14ac:dyDescent="0.2">
      <c r="B553" t="s">
        <v>8221</v>
      </c>
      <c r="C553">
        <v>28</v>
      </c>
      <c r="E553" t="s">
        <v>8221</v>
      </c>
      <c r="F553">
        <v>7</v>
      </c>
    </row>
    <row r="554" spans="2:6" hidden="1" x14ac:dyDescent="0.2">
      <c r="B554" t="s">
        <v>8221</v>
      </c>
      <c r="C554">
        <v>0</v>
      </c>
      <c r="E554" t="s">
        <v>8221</v>
      </c>
      <c r="F554">
        <v>7</v>
      </c>
    </row>
    <row r="555" spans="2:6" hidden="1" x14ac:dyDescent="0.2">
      <c r="B555" t="s">
        <v>8221</v>
      </c>
      <c r="C555">
        <v>6</v>
      </c>
      <c r="E555" t="s">
        <v>8221</v>
      </c>
      <c r="F555">
        <v>7</v>
      </c>
    </row>
    <row r="556" spans="2:6" hidden="1" x14ac:dyDescent="0.2">
      <c r="B556" t="s">
        <v>8221</v>
      </c>
      <c r="C556">
        <v>22</v>
      </c>
      <c r="E556" t="s">
        <v>8221</v>
      </c>
      <c r="F556">
        <v>7</v>
      </c>
    </row>
    <row r="557" spans="2:6" hidden="1" x14ac:dyDescent="0.2">
      <c r="B557" t="s">
        <v>8221</v>
      </c>
      <c r="C557">
        <v>0</v>
      </c>
      <c r="E557" t="s">
        <v>8221</v>
      </c>
      <c r="F557">
        <v>7</v>
      </c>
    </row>
    <row r="558" spans="2:6" hidden="1" x14ac:dyDescent="0.2">
      <c r="B558" t="s">
        <v>8221</v>
      </c>
      <c r="C558">
        <v>1</v>
      </c>
      <c r="E558" t="s">
        <v>8221</v>
      </c>
      <c r="F558">
        <v>7</v>
      </c>
    </row>
    <row r="559" spans="2:6" hidden="1" x14ac:dyDescent="0.2">
      <c r="B559" t="s">
        <v>8221</v>
      </c>
      <c r="C559">
        <v>20</v>
      </c>
      <c r="E559" t="s">
        <v>8221</v>
      </c>
      <c r="F559">
        <v>7</v>
      </c>
    </row>
    <row r="560" spans="2:6" hidden="1" x14ac:dyDescent="0.2">
      <c r="B560" t="s">
        <v>8221</v>
      </c>
      <c r="C560">
        <v>0</v>
      </c>
      <c r="E560" t="s">
        <v>8221</v>
      </c>
      <c r="F560">
        <v>7</v>
      </c>
    </row>
    <row r="561" spans="2:6" hidden="1" x14ac:dyDescent="0.2">
      <c r="B561" t="s">
        <v>8221</v>
      </c>
      <c r="C561">
        <v>1</v>
      </c>
      <c r="E561" t="s">
        <v>8221</v>
      </c>
      <c r="F561">
        <v>7</v>
      </c>
    </row>
    <row r="562" spans="2:6" hidden="1" x14ac:dyDescent="0.2">
      <c r="B562" t="s">
        <v>8221</v>
      </c>
      <c r="C562">
        <v>3</v>
      </c>
      <c r="E562" t="s">
        <v>8221</v>
      </c>
      <c r="F562">
        <v>7</v>
      </c>
    </row>
    <row r="563" spans="2:6" hidden="1" x14ac:dyDescent="0.2">
      <c r="B563" t="s">
        <v>8221</v>
      </c>
      <c r="C563">
        <v>2</v>
      </c>
      <c r="E563" t="s">
        <v>8221</v>
      </c>
      <c r="F563">
        <v>7</v>
      </c>
    </row>
    <row r="564" spans="2:6" hidden="1" x14ac:dyDescent="0.2">
      <c r="B564" t="s">
        <v>8221</v>
      </c>
      <c r="C564">
        <v>0</v>
      </c>
      <c r="E564" t="s">
        <v>8221</v>
      </c>
      <c r="F564">
        <v>7</v>
      </c>
    </row>
    <row r="565" spans="2:6" hidden="1" x14ac:dyDescent="0.2">
      <c r="B565" t="s">
        <v>8221</v>
      </c>
      <c r="C565">
        <v>2</v>
      </c>
      <c r="E565" t="s">
        <v>8221</v>
      </c>
      <c r="F565">
        <v>7</v>
      </c>
    </row>
    <row r="566" spans="2:6" hidden="1" x14ac:dyDescent="0.2">
      <c r="B566" t="s">
        <v>8221</v>
      </c>
      <c r="C566">
        <v>1</v>
      </c>
      <c r="E566" t="s">
        <v>8221</v>
      </c>
      <c r="F566">
        <v>7</v>
      </c>
    </row>
    <row r="567" spans="2:6" hidden="1" x14ac:dyDescent="0.2">
      <c r="B567" t="s">
        <v>8221</v>
      </c>
      <c r="C567">
        <v>0</v>
      </c>
      <c r="E567" t="s">
        <v>8221</v>
      </c>
      <c r="F567">
        <v>7</v>
      </c>
    </row>
    <row r="568" spans="2:6" hidden="1" x14ac:dyDescent="0.2">
      <c r="B568" t="s">
        <v>8221</v>
      </c>
      <c r="C568">
        <v>1</v>
      </c>
      <c r="E568" t="s">
        <v>8221</v>
      </c>
      <c r="F568">
        <v>7</v>
      </c>
    </row>
    <row r="569" spans="2:6" hidden="1" x14ac:dyDescent="0.2">
      <c r="B569" t="s">
        <v>8221</v>
      </c>
      <c r="C569">
        <v>0</v>
      </c>
      <c r="E569" t="s">
        <v>8221</v>
      </c>
      <c r="F569">
        <v>7</v>
      </c>
    </row>
    <row r="570" spans="2:6" hidden="1" x14ac:dyDescent="0.2">
      <c r="B570" t="s">
        <v>8221</v>
      </c>
      <c r="C570">
        <v>5</v>
      </c>
      <c r="E570" t="s">
        <v>8221</v>
      </c>
      <c r="F570">
        <v>7</v>
      </c>
    </row>
    <row r="571" spans="2:6" hidden="1" x14ac:dyDescent="0.2">
      <c r="B571" t="s">
        <v>8221</v>
      </c>
      <c r="C571">
        <v>1</v>
      </c>
      <c r="E571" t="s">
        <v>8221</v>
      </c>
      <c r="F571">
        <v>7</v>
      </c>
    </row>
    <row r="572" spans="2:6" hidden="1" x14ac:dyDescent="0.2">
      <c r="B572" t="s">
        <v>8221</v>
      </c>
      <c r="C572">
        <v>1</v>
      </c>
      <c r="E572" t="s">
        <v>8221</v>
      </c>
      <c r="F572">
        <v>6</v>
      </c>
    </row>
    <row r="573" spans="2:6" hidden="1" x14ac:dyDescent="0.2">
      <c r="B573" t="s">
        <v>8221</v>
      </c>
      <c r="C573">
        <v>2</v>
      </c>
      <c r="E573" t="s">
        <v>8221</v>
      </c>
      <c r="F573">
        <v>6</v>
      </c>
    </row>
    <row r="574" spans="2:6" hidden="1" x14ac:dyDescent="0.2">
      <c r="B574" t="s">
        <v>8221</v>
      </c>
      <c r="C574">
        <v>0</v>
      </c>
      <c r="E574" t="s">
        <v>8221</v>
      </c>
      <c r="F574">
        <v>6</v>
      </c>
    </row>
    <row r="575" spans="2:6" hidden="1" x14ac:dyDescent="0.2">
      <c r="B575" t="s">
        <v>8221</v>
      </c>
      <c r="C575">
        <v>9</v>
      </c>
      <c r="E575" t="s">
        <v>8221</v>
      </c>
      <c r="F575">
        <v>6</v>
      </c>
    </row>
    <row r="576" spans="2:6" hidden="1" x14ac:dyDescent="0.2">
      <c r="B576" t="s">
        <v>8221</v>
      </c>
      <c r="C576">
        <v>4</v>
      </c>
      <c r="E576" t="s">
        <v>8221</v>
      </c>
      <c r="F576">
        <v>6</v>
      </c>
    </row>
    <row r="577" spans="2:6" hidden="1" x14ac:dyDescent="0.2">
      <c r="B577" t="s">
        <v>8221</v>
      </c>
      <c r="C577">
        <v>4</v>
      </c>
      <c r="E577" t="s">
        <v>8221</v>
      </c>
      <c r="F577">
        <v>6</v>
      </c>
    </row>
    <row r="578" spans="2:6" hidden="1" x14ac:dyDescent="0.2">
      <c r="B578" t="s">
        <v>8221</v>
      </c>
      <c r="C578">
        <v>1</v>
      </c>
      <c r="E578" t="s">
        <v>8221</v>
      </c>
      <c r="F578">
        <v>6</v>
      </c>
    </row>
    <row r="579" spans="2:6" hidden="1" x14ac:dyDescent="0.2">
      <c r="B579" t="s">
        <v>8221</v>
      </c>
      <c r="C579">
        <v>1</v>
      </c>
      <c r="E579" t="s">
        <v>8221</v>
      </c>
      <c r="F579">
        <v>6</v>
      </c>
    </row>
    <row r="580" spans="2:6" hidden="1" x14ac:dyDescent="0.2">
      <c r="B580" t="s">
        <v>8221</v>
      </c>
      <c r="C580">
        <v>7</v>
      </c>
      <c r="E580" t="s">
        <v>8221</v>
      </c>
      <c r="F580">
        <v>6</v>
      </c>
    </row>
    <row r="581" spans="2:6" hidden="1" x14ac:dyDescent="0.2">
      <c r="B581" t="s">
        <v>8221</v>
      </c>
      <c r="C581">
        <v>5</v>
      </c>
      <c r="E581" t="s">
        <v>8221</v>
      </c>
      <c r="F581">
        <v>6</v>
      </c>
    </row>
    <row r="582" spans="2:6" hidden="1" x14ac:dyDescent="0.2">
      <c r="B582" t="s">
        <v>8221</v>
      </c>
      <c r="C582">
        <v>1</v>
      </c>
      <c r="E582" t="s">
        <v>8221</v>
      </c>
      <c r="F582">
        <v>6</v>
      </c>
    </row>
    <row r="583" spans="2:6" hidden="1" x14ac:dyDescent="0.2">
      <c r="B583" t="s">
        <v>8221</v>
      </c>
      <c r="C583">
        <v>0</v>
      </c>
      <c r="E583" t="s">
        <v>8221</v>
      </c>
      <c r="F583">
        <v>6</v>
      </c>
    </row>
    <row r="584" spans="2:6" hidden="1" x14ac:dyDescent="0.2">
      <c r="B584" t="s">
        <v>8221</v>
      </c>
      <c r="C584">
        <v>0</v>
      </c>
      <c r="E584" t="s">
        <v>8221</v>
      </c>
      <c r="F584">
        <v>6</v>
      </c>
    </row>
    <row r="585" spans="2:6" hidden="1" x14ac:dyDescent="0.2">
      <c r="B585" t="s">
        <v>8221</v>
      </c>
      <c r="C585">
        <v>1</v>
      </c>
      <c r="E585" t="s">
        <v>8221</v>
      </c>
      <c r="F585">
        <v>6</v>
      </c>
    </row>
    <row r="586" spans="2:6" hidden="1" x14ac:dyDescent="0.2">
      <c r="B586" t="s">
        <v>8221</v>
      </c>
      <c r="C586">
        <v>2</v>
      </c>
      <c r="E586" t="s">
        <v>8221</v>
      </c>
      <c r="F586">
        <v>6</v>
      </c>
    </row>
    <row r="587" spans="2:6" hidden="1" x14ac:dyDescent="0.2">
      <c r="B587" t="s">
        <v>8221</v>
      </c>
      <c r="C587">
        <v>0</v>
      </c>
      <c r="E587" t="s">
        <v>8221</v>
      </c>
      <c r="F587">
        <v>6</v>
      </c>
    </row>
    <row r="588" spans="2:6" hidden="1" x14ac:dyDescent="0.2">
      <c r="B588" t="s">
        <v>8221</v>
      </c>
      <c r="C588">
        <v>4</v>
      </c>
      <c r="E588" t="s">
        <v>8221</v>
      </c>
      <c r="F588">
        <v>6</v>
      </c>
    </row>
    <row r="589" spans="2:6" hidden="1" x14ac:dyDescent="0.2">
      <c r="B589" t="s">
        <v>8221</v>
      </c>
      <c r="C589">
        <v>7</v>
      </c>
      <c r="E589" t="s">
        <v>8221</v>
      </c>
      <c r="F589">
        <v>6</v>
      </c>
    </row>
    <row r="590" spans="2:6" hidden="1" x14ac:dyDescent="0.2">
      <c r="B590" t="s">
        <v>8221</v>
      </c>
      <c r="C590">
        <v>2</v>
      </c>
      <c r="E590" t="s">
        <v>8221</v>
      </c>
      <c r="F590">
        <v>6</v>
      </c>
    </row>
    <row r="591" spans="2:6" hidden="1" x14ac:dyDescent="0.2">
      <c r="B591" t="s">
        <v>8221</v>
      </c>
      <c r="C591">
        <v>1</v>
      </c>
      <c r="E591" t="s">
        <v>8221</v>
      </c>
      <c r="F591">
        <v>6</v>
      </c>
    </row>
    <row r="592" spans="2:6" hidden="1" x14ac:dyDescent="0.2">
      <c r="B592" t="s">
        <v>8221</v>
      </c>
      <c r="C592">
        <v>9</v>
      </c>
      <c r="E592" t="s">
        <v>8221</v>
      </c>
      <c r="F592">
        <v>6</v>
      </c>
    </row>
    <row r="593" spans="2:6" hidden="1" x14ac:dyDescent="0.2">
      <c r="B593" t="s">
        <v>8221</v>
      </c>
      <c r="C593">
        <v>2</v>
      </c>
      <c r="E593" t="s">
        <v>8221</v>
      </c>
      <c r="F593">
        <v>6</v>
      </c>
    </row>
    <row r="594" spans="2:6" hidden="1" x14ac:dyDescent="0.2">
      <c r="B594" t="s">
        <v>8221</v>
      </c>
      <c r="C594">
        <v>1</v>
      </c>
      <c r="E594" t="s">
        <v>8221</v>
      </c>
      <c r="F594">
        <v>6</v>
      </c>
    </row>
    <row r="595" spans="2:6" hidden="1" x14ac:dyDescent="0.2">
      <c r="B595" t="s">
        <v>8221</v>
      </c>
      <c r="C595">
        <v>7</v>
      </c>
      <c r="E595" t="s">
        <v>8221</v>
      </c>
      <c r="F595">
        <v>6</v>
      </c>
    </row>
    <row r="596" spans="2:6" hidden="1" x14ac:dyDescent="0.2">
      <c r="B596" t="s">
        <v>8221</v>
      </c>
      <c r="C596">
        <v>2</v>
      </c>
      <c r="E596" t="s">
        <v>8221</v>
      </c>
      <c r="F596">
        <v>6</v>
      </c>
    </row>
    <row r="597" spans="2:6" hidden="1" x14ac:dyDescent="0.2">
      <c r="B597" t="s">
        <v>8221</v>
      </c>
      <c r="C597">
        <v>8</v>
      </c>
      <c r="E597" t="s">
        <v>8221</v>
      </c>
      <c r="F597">
        <v>6</v>
      </c>
    </row>
    <row r="598" spans="2:6" hidden="1" x14ac:dyDescent="0.2">
      <c r="B598" t="s">
        <v>8221</v>
      </c>
      <c r="C598">
        <v>2</v>
      </c>
      <c r="E598" t="s">
        <v>8221</v>
      </c>
      <c r="F598">
        <v>6</v>
      </c>
    </row>
    <row r="599" spans="2:6" hidden="1" x14ac:dyDescent="0.2">
      <c r="B599" t="s">
        <v>8221</v>
      </c>
      <c r="C599">
        <v>2</v>
      </c>
      <c r="E599" t="s">
        <v>8221</v>
      </c>
      <c r="F599">
        <v>6</v>
      </c>
    </row>
    <row r="600" spans="2:6" hidden="1" x14ac:dyDescent="0.2">
      <c r="B600" t="s">
        <v>8221</v>
      </c>
      <c r="C600">
        <v>7</v>
      </c>
      <c r="E600" t="s">
        <v>8221</v>
      </c>
      <c r="F600">
        <v>6</v>
      </c>
    </row>
    <row r="601" spans="2:6" hidden="1" x14ac:dyDescent="0.2">
      <c r="B601" t="s">
        <v>8221</v>
      </c>
      <c r="C601">
        <v>2</v>
      </c>
      <c r="E601" t="s">
        <v>8221</v>
      </c>
      <c r="F601">
        <v>6</v>
      </c>
    </row>
    <row r="602" spans="2:6" hidden="1" x14ac:dyDescent="0.2">
      <c r="B602" t="s">
        <v>8220</v>
      </c>
      <c r="C602">
        <v>1</v>
      </c>
      <c r="E602" t="s">
        <v>8221</v>
      </c>
      <c r="F602">
        <v>6</v>
      </c>
    </row>
    <row r="603" spans="2:6" hidden="1" x14ac:dyDescent="0.2">
      <c r="B603" t="s">
        <v>8220</v>
      </c>
      <c r="C603">
        <v>6</v>
      </c>
      <c r="E603" t="s">
        <v>8221</v>
      </c>
      <c r="F603">
        <v>6</v>
      </c>
    </row>
    <row r="604" spans="2:6" hidden="1" x14ac:dyDescent="0.2">
      <c r="B604" t="s">
        <v>8220</v>
      </c>
      <c r="C604">
        <v>0</v>
      </c>
      <c r="E604" t="s">
        <v>8221</v>
      </c>
      <c r="F604">
        <v>6</v>
      </c>
    </row>
    <row r="605" spans="2:6" hidden="1" x14ac:dyDescent="0.2">
      <c r="B605" t="s">
        <v>8220</v>
      </c>
      <c r="C605">
        <v>13</v>
      </c>
      <c r="E605" t="s">
        <v>8221</v>
      </c>
      <c r="F605">
        <v>6</v>
      </c>
    </row>
    <row r="606" spans="2:6" hidden="1" x14ac:dyDescent="0.2">
      <c r="B606" t="s">
        <v>8220</v>
      </c>
      <c r="C606">
        <v>0</v>
      </c>
      <c r="E606" t="s">
        <v>8221</v>
      </c>
      <c r="F606">
        <v>6</v>
      </c>
    </row>
    <row r="607" spans="2:6" hidden="1" x14ac:dyDescent="0.2">
      <c r="B607" t="s">
        <v>8220</v>
      </c>
      <c r="C607">
        <v>8</v>
      </c>
      <c r="E607" t="s">
        <v>8221</v>
      </c>
      <c r="F607">
        <v>6</v>
      </c>
    </row>
    <row r="608" spans="2:6" hidden="1" x14ac:dyDescent="0.2">
      <c r="B608" t="s">
        <v>8220</v>
      </c>
      <c r="C608">
        <v>1</v>
      </c>
      <c r="E608" t="s">
        <v>8221</v>
      </c>
      <c r="F608">
        <v>6</v>
      </c>
    </row>
    <row r="609" spans="2:6" hidden="1" x14ac:dyDescent="0.2">
      <c r="B609" t="s">
        <v>8220</v>
      </c>
      <c r="C609">
        <v>0</v>
      </c>
      <c r="E609" t="s">
        <v>8221</v>
      </c>
      <c r="F609">
        <v>6</v>
      </c>
    </row>
    <row r="610" spans="2:6" hidden="1" x14ac:dyDescent="0.2">
      <c r="B610" t="s">
        <v>8220</v>
      </c>
      <c r="C610">
        <v>5</v>
      </c>
      <c r="E610" t="s">
        <v>8221</v>
      </c>
      <c r="F610">
        <v>6</v>
      </c>
    </row>
    <row r="611" spans="2:6" hidden="1" x14ac:dyDescent="0.2">
      <c r="B611" t="s">
        <v>8220</v>
      </c>
      <c r="C611">
        <v>1</v>
      </c>
      <c r="E611" t="s">
        <v>8221</v>
      </c>
      <c r="F611">
        <v>6</v>
      </c>
    </row>
    <row r="612" spans="2:6" hidden="1" x14ac:dyDescent="0.2">
      <c r="B612" t="s">
        <v>8220</v>
      </c>
      <c r="C612">
        <v>0</v>
      </c>
      <c r="E612" t="s">
        <v>8221</v>
      </c>
      <c r="F612">
        <v>6</v>
      </c>
    </row>
    <row r="613" spans="2:6" hidden="1" x14ac:dyDescent="0.2">
      <c r="B613" t="s">
        <v>8220</v>
      </c>
      <c r="C613">
        <v>0</v>
      </c>
      <c r="E613" t="s">
        <v>8221</v>
      </c>
      <c r="F613">
        <v>6</v>
      </c>
    </row>
    <row r="614" spans="2:6" hidden="1" x14ac:dyDescent="0.2">
      <c r="B614" t="s">
        <v>8220</v>
      </c>
      <c r="C614">
        <v>0</v>
      </c>
      <c r="E614" t="s">
        <v>8221</v>
      </c>
      <c r="F614">
        <v>6</v>
      </c>
    </row>
    <row r="615" spans="2:6" hidden="1" x14ac:dyDescent="0.2">
      <c r="B615" t="s">
        <v>8220</v>
      </c>
      <c r="C615">
        <v>121</v>
      </c>
      <c r="E615" t="s">
        <v>8221</v>
      </c>
      <c r="F615">
        <v>6</v>
      </c>
    </row>
    <row r="616" spans="2:6" hidden="1" x14ac:dyDescent="0.2">
      <c r="B616" t="s">
        <v>8220</v>
      </c>
      <c r="C616">
        <v>0</v>
      </c>
      <c r="E616" t="s">
        <v>8221</v>
      </c>
      <c r="F616">
        <v>6</v>
      </c>
    </row>
    <row r="617" spans="2:6" hidden="1" x14ac:dyDescent="0.2">
      <c r="B617" t="s">
        <v>8220</v>
      </c>
      <c r="C617">
        <v>0</v>
      </c>
      <c r="E617" t="s">
        <v>8221</v>
      </c>
      <c r="F617">
        <v>6</v>
      </c>
    </row>
    <row r="618" spans="2:6" hidden="1" x14ac:dyDescent="0.2">
      <c r="B618" t="s">
        <v>8220</v>
      </c>
      <c r="C618">
        <v>0</v>
      </c>
      <c r="E618" t="s">
        <v>8221</v>
      </c>
      <c r="F618">
        <v>6</v>
      </c>
    </row>
    <row r="619" spans="2:6" hidden="1" x14ac:dyDescent="0.2">
      <c r="B619" t="s">
        <v>8220</v>
      </c>
      <c r="C619">
        <v>3</v>
      </c>
      <c r="E619" t="s">
        <v>8221</v>
      </c>
      <c r="F619">
        <v>6</v>
      </c>
    </row>
    <row r="620" spans="2:6" hidden="1" x14ac:dyDescent="0.2">
      <c r="B620" t="s">
        <v>8220</v>
      </c>
      <c r="C620">
        <v>0</v>
      </c>
      <c r="E620" t="s">
        <v>8221</v>
      </c>
      <c r="F620">
        <v>6</v>
      </c>
    </row>
    <row r="621" spans="2:6" hidden="1" x14ac:dyDescent="0.2">
      <c r="B621" t="s">
        <v>8220</v>
      </c>
      <c r="C621">
        <v>1</v>
      </c>
      <c r="E621" t="s">
        <v>8221</v>
      </c>
      <c r="F621">
        <v>6</v>
      </c>
    </row>
    <row r="622" spans="2:6" hidden="1" x14ac:dyDescent="0.2">
      <c r="B622" t="s">
        <v>8220</v>
      </c>
      <c r="C622">
        <v>1</v>
      </c>
      <c r="E622" t="s">
        <v>8221</v>
      </c>
      <c r="F622">
        <v>5</v>
      </c>
    </row>
    <row r="623" spans="2:6" hidden="1" x14ac:dyDescent="0.2">
      <c r="B623" t="s">
        <v>8220</v>
      </c>
      <c r="C623">
        <v>3</v>
      </c>
      <c r="E623" t="s">
        <v>8221</v>
      </c>
      <c r="F623">
        <v>5</v>
      </c>
    </row>
    <row r="624" spans="2:6" hidden="1" x14ac:dyDescent="0.2">
      <c r="B624" t="s">
        <v>8220</v>
      </c>
      <c r="C624">
        <v>9</v>
      </c>
      <c r="E624" t="s">
        <v>8221</v>
      </c>
      <c r="F624">
        <v>5</v>
      </c>
    </row>
    <row r="625" spans="2:6" hidden="1" x14ac:dyDescent="0.2">
      <c r="B625" t="s">
        <v>8220</v>
      </c>
      <c r="C625">
        <v>0</v>
      </c>
      <c r="E625" t="s">
        <v>8221</v>
      </c>
      <c r="F625">
        <v>5</v>
      </c>
    </row>
    <row r="626" spans="2:6" hidden="1" x14ac:dyDescent="0.2">
      <c r="B626" t="s">
        <v>8220</v>
      </c>
      <c r="C626">
        <v>0</v>
      </c>
      <c r="E626" t="s">
        <v>8221</v>
      </c>
      <c r="F626">
        <v>5</v>
      </c>
    </row>
    <row r="627" spans="2:6" hidden="1" x14ac:dyDescent="0.2">
      <c r="B627" t="s">
        <v>8220</v>
      </c>
      <c r="C627">
        <v>0</v>
      </c>
      <c r="E627" t="s">
        <v>8221</v>
      </c>
      <c r="F627">
        <v>5</v>
      </c>
    </row>
    <row r="628" spans="2:6" hidden="1" x14ac:dyDescent="0.2">
      <c r="B628" t="s">
        <v>8220</v>
      </c>
      <c r="C628">
        <v>39</v>
      </c>
      <c r="E628" t="s">
        <v>8221</v>
      </c>
      <c r="F628">
        <v>5</v>
      </c>
    </row>
    <row r="629" spans="2:6" hidden="1" x14ac:dyDescent="0.2">
      <c r="B629" t="s">
        <v>8220</v>
      </c>
      <c r="C629">
        <v>1</v>
      </c>
      <c r="E629" t="s">
        <v>8221</v>
      </c>
      <c r="F629">
        <v>5</v>
      </c>
    </row>
    <row r="630" spans="2:6" hidden="1" x14ac:dyDescent="0.2">
      <c r="B630" t="s">
        <v>8220</v>
      </c>
      <c r="C630">
        <v>0</v>
      </c>
      <c r="E630" t="s">
        <v>8221</v>
      </c>
      <c r="F630">
        <v>5</v>
      </c>
    </row>
    <row r="631" spans="2:6" hidden="1" x14ac:dyDescent="0.2">
      <c r="B631" t="s">
        <v>8220</v>
      </c>
      <c r="C631">
        <v>3</v>
      </c>
      <c r="E631" t="s">
        <v>8221</v>
      </c>
      <c r="F631">
        <v>5</v>
      </c>
    </row>
    <row r="632" spans="2:6" hidden="1" x14ac:dyDescent="0.2">
      <c r="B632" t="s">
        <v>8220</v>
      </c>
      <c r="C632">
        <v>1</v>
      </c>
      <c r="E632" t="s">
        <v>8221</v>
      </c>
      <c r="F632">
        <v>5</v>
      </c>
    </row>
    <row r="633" spans="2:6" hidden="1" x14ac:dyDescent="0.2">
      <c r="B633" t="s">
        <v>8220</v>
      </c>
      <c r="C633">
        <v>9</v>
      </c>
      <c r="E633" t="s">
        <v>8221</v>
      </c>
      <c r="F633">
        <v>5</v>
      </c>
    </row>
    <row r="634" spans="2:6" hidden="1" x14ac:dyDescent="0.2">
      <c r="B634" t="s">
        <v>8220</v>
      </c>
      <c r="C634">
        <v>0</v>
      </c>
      <c r="E634" t="s">
        <v>8221</v>
      </c>
      <c r="F634">
        <v>5</v>
      </c>
    </row>
    <row r="635" spans="2:6" hidden="1" x14ac:dyDescent="0.2">
      <c r="B635" t="s">
        <v>8220</v>
      </c>
      <c r="C635">
        <v>25</v>
      </c>
      <c r="E635" t="s">
        <v>8221</v>
      </c>
      <c r="F635">
        <v>5</v>
      </c>
    </row>
    <row r="636" spans="2:6" hidden="1" x14ac:dyDescent="0.2">
      <c r="B636" t="s">
        <v>8220</v>
      </c>
      <c r="C636">
        <v>1</v>
      </c>
      <c r="E636" t="s">
        <v>8221</v>
      </c>
      <c r="F636">
        <v>5</v>
      </c>
    </row>
    <row r="637" spans="2:6" hidden="1" x14ac:dyDescent="0.2">
      <c r="B637" t="s">
        <v>8220</v>
      </c>
      <c r="C637">
        <v>1</v>
      </c>
      <c r="E637" t="s">
        <v>8221</v>
      </c>
      <c r="F637">
        <v>5</v>
      </c>
    </row>
    <row r="638" spans="2:6" hidden="1" x14ac:dyDescent="0.2">
      <c r="B638" t="s">
        <v>8220</v>
      </c>
      <c r="C638">
        <v>1</v>
      </c>
      <c r="E638" t="s">
        <v>8221</v>
      </c>
      <c r="F638">
        <v>5</v>
      </c>
    </row>
    <row r="639" spans="2:6" hidden="1" x14ac:dyDescent="0.2">
      <c r="B639" t="s">
        <v>8220</v>
      </c>
      <c r="C639">
        <v>0</v>
      </c>
      <c r="E639" t="s">
        <v>8221</v>
      </c>
      <c r="F639">
        <v>5</v>
      </c>
    </row>
    <row r="640" spans="2:6" hidden="1" x14ac:dyDescent="0.2">
      <c r="B640" t="s">
        <v>8220</v>
      </c>
      <c r="C640">
        <v>6</v>
      </c>
      <c r="E640" t="s">
        <v>8221</v>
      </c>
      <c r="F640">
        <v>5</v>
      </c>
    </row>
    <row r="641" spans="2:6" hidden="1" x14ac:dyDescent="0.2">
      <c r="B641" t="s">
        <v>8220</v>
      </c>
      <c r="C641">
        <v>1</v>
      </c>
      <c r="E641" t="s">
        <v>8221</v>
      </c>
      <c r="F641">
        <v>5</v>
      </c>
    </row>
    <row r="642" spans="2:6" x14ac:dyDescent="0.2">
      <c r="B642" t="s">
        <v>8219</v>
      </c>
      <c r="C642">
        <v>242</v>
      </c>
      <c r="E642" t="s">
        <v>8221</v>
      </c>
      <c r="F642">
        <v>5</v>
      </c>
    </row>
    <row r="643" spans="2:6" x14ac:dyDescent="0.2">
      <c r="B643" t="s">
        <v>8219</v>
      </c>
      <c r="C643">
        <v>241</v>
      </c>
      <c r="E643" t="s">
        <v>8221</v>
      </c>
      <c r="F643">
        <v>5</v>
      </c>
    </row>
    <row r="644" spans="2:6" x14ac:dyDescent="0.2">
      <c r="B644" t="s">
        <v>8219</v>
      </c>
      <c r="C644">
        <v>241</v>
      </c>
      <c r="E644" t="s">
        <v>8221</v>
      </c>
      <c r="F644">
        <v>5</v>
      </c>
    </row>
    <row r="645" spans="2:6" x14ac:dyDescent="0.2">
      <c r="B645" t="s">
        <v>8219</v>
      </c>
      <c r="C645">
        <v>241</v>
      </c>
      <c r="E645" t="s">
        <v>8221</v>
      </c>
      <c r="F645">
        <v>5</v>
      </c>
    </row>
    <row r="646" spans="2:6" x14ac:dyDescent="0.2">
      <c r="B646" t="s">
        <v>8219</v>
      </c>
      <c r="C646">
        <v>240</v>
      </c>
      <c r="E646" t="s">
        <v>8221</v>
      </c>
      <c r="F646">
        <v>5</v>
      </c>
    </row>
    <row r="647" spans="2:6" x14ac:dyDescent="0.2">
      <c r="B647" t="s">
        <v>8219</v>
      </c>
      <c r="C647">
        <v>238</v>
      </c>
      <c r="E647" t="s">
        <v>8221</v>
      </c>
      <c r="F647">
        <v>5</v>
      </c>
    </row>
    <row r="648" spans="2:6" x14ac:dyDescent="0.2">
      <c r="B648" t="s">
        <v>8219</v>
      </c>
      <c r="C648">
        <v>238</v>
      </c>
      <c r="E648" t="s">
        <v>8221</v>
      </c>
      <c r="F648">
        <v>5</v>
      </c>
    </row>
    <row r="649" spans="2:6" x14ac:dyDescent="0.2">
      <c r="B649" t="s">
        <v>8219</v>
      </c>
      <c r="C649">
        <v>238</v>
      </c>
      <c r="E649" t="s">
        <v>8221</v>
      </c>
      <c r="F649">
        <v>5</v>
      </c>
    </row>
    <row r="650" spans="2:6" x14ac:dyDescent="0.2">
      <c r="B650" t="s">
        <v>8219</v>
      </c>
      <c r="C650">
        <v>238</v>
      </c>
      <c r="E650" t="s">
        <v>8221</v>
      </c>
      <c r="F650">
        <v>5</v>
      </c>
    </row>
    <row r="651" spans="2:6" x14ac:dyDescent="0.2">
      <c r="B651" t="s">
        <v>8219</v>
      </c>
      <c r="C651">
        <v>237</v>
      </c>
      <c r="E651" t="s">
        <v>8221</v>
      </c>
      <c r="F651">
        <v>5</v>
      </c>
    </row>
    <row r="652" spans="2:6" x14ac:dyDescent="0.2">
      <c r="B652" t="s">
        <v>8219</v>
      </c>
      <c r="C652">
        <v>237</v>
      </c>
      <c r="E652" t="s">
        <v>8221</v>
      </c>
      <c r="F652">
        <v>5</v>
      </c>
    </row>
    <row r="653" spans="2:6" x14ac:dyDescent="0.2">
      <c r="B653" t="s">
        <v>8219</v>
      </c>
      <c r="C653">
        <v>237</v>
      </c>
      <c r="E653" t="s">
        <v>8221</v>
      </c>
      <c r="F653">
        <v>5</v>
      </c>
    </row>
    <row r="654" spans="2:6" x14ac:dyDescent="0.2">
      <c r="B654" t="s">
        <v>8219</v>
      </c>
      <c r="C654">
        <v>236</v>
      </c>
      <c r="E654" t="s">
        <v>8221</v>
      </c>
      <c r="F654">
        <v>5</v>
      </c>
    </row>
    <row r="655" spans="2:6" x14ac:dyDescent="0.2">
      <c r="B655" t="s">
        <v>8219</v>
      </c>
      <c r="C655">
        <v>236</v>
      </c>
      <c r="E655" t="s">
        <v>8221</v>
      </c>
      <c r="F655">
        <v>5</v>
      </c>
    </row>
    <row r="656" spans="2:6" x14ac:dyDescent="0.2">
      <c r="B656" t="s">
        <v>8219</v>
      </c>
      <c r="C656">
        <v>236</v>
      </c>
      <c r="E656" t="s">
        <v>8221</v>
      </c>
      <c r="F656">
        <v>5</v>
      </c>
    </row>
    <row r="657" spans="2:6" x14ac:dyDescent="0.2">
      <c r="B657" t="s">
        <v>8219</v>
      </c>
      <c r="C657">
        <v>235</v>
      </c>
      <c r="E657" t="s">
        <v>8221</v>
      </c>
      <c r="F657">
        <v>5</v>
      </c>
    </row>
    <row r="658" spans="2:6" x14ac:dyDescent="0.2">
      <c r="B658" t="s">
        <v>8219</v>
      </c>
      <c r="C658">
        <v>235</v>
      </c>
      <c r="E658" t="s">
        <v>8221</v>
      </c>
      <c r="F658">
        <v>5</v>
      </c>
    </row>
    <row r="659" spans="2:6" x14ac:dyDescent="0.2">
      <c r="B659" t="s">
        <v>8219</v>
      </c>
      <c r="C659">
        <v>234</v>
      </c>
      <c r="E659" t="s">
        <v>8221</v>
      </c>
      <c r="F659">
        <v>5</v>
      </c>
    </row>
    <row r="660" spans="2:6" x14ac:dyDescent="0.2">
      <c r="B660" t="s">
        <v>8219</v>
      </c>
      <c r="C660">
        <v>234</v>
      </c>
      <c r="E660" t="s">
        <v>8221</v>
      </c>
      <c r="F660">
        <v>5</v>
      </c>
    </row>
    <row r="661" spans="2:6" x14ac:dyDescent="0.2">
      <c r="B661" t="s">
        <v>8219</v>
      </c>
      <c r="C661">
        <v>232</v>
      </c>
      <c r="E661" t="s">
        <v>8221</v>
      </c>
      <c r="F661">
        <v>5</v>
      </c>
    </row>
    <row r="662" spans="2:6" hidden="1" x14ac:dyDescent="0.2">
      <c r="B662" t="s">
        <v>8221</v>
      </c>
      <c r="C662">
        <v>18</v>
      </c>
      <c r="E662" t="s">
        <v>8221</v>
      </c>
      <c r="F662">
        <v>5</v>
      </c>
    </row>
    <row r="663" spans="2:6" hidden="1" x14ac:dyDescent="0.2">
      <c r="B663" t="s">
        <v>8221</v>
      </c>
      <c r="C663">
        <v>9</v>
      </c>
      <c r="E663" t="s">
        <v>8221</v>
      </c>
      <c r="F663">
        <v>5</v>
      </c>
    </row>
    <row r="664" spans="2:6" hidden="1" x14ac:dyDescent="0.2">
      <c r="B664" t="s">
        <v>8221</v>
      </c>
      <c r="C664">
        <v>4</v>
      </c>
      <c r="E664" t="s">
        <v>8221</v>
      </c>
      <c r="F664">
        <v>5</v>
      </c>
    </row>
    <row r="665" spans="2:6" hidden="1" x14ac:dyDescent="0.2">
      <c r="B665" t="s">
        <v>8221</v>
      </c>
      <c r="C665">
        <v>7</v>
      </c>
      <c r="E665" t="s">
        <v>8221</v>
      </c>
      <c r="F665">
        <v>5</v>
      </c>
    </row>
    <row r="666" spans="2:6" hidden="1" x14ac:dyDescent="0.2">
      <c r="B666" t="s">
        <v>8221</v>
      </c>
      <c r="C666">
        <v>29</v>
      </c>
      <c r="E666" t="s">
        <v>8221</v>
      </c>
      <c r="F666">
        <v>5</v>
      </c>
    </row>
    <row r="667" spans="2:6" hidden="1" x14ac:dyDescent="0.2">
      <c r="B667" t="s">
        <v>8221</v>
      </c>
      <c r="C667">
        <v>12</v>
      </c>
      <c r="E667" t="s">
        <v>8221</v>
      </c>
      <c r="F667">
        <v>5</v>
      </c>
    </row>
    <row r="668" spans="2:6" hidden="1" x14ac:dyDescent="0.2">
      <c r="B668" t="s">
        <v>8221</v>
      </c>
      <c r="C668">
        <v>4</v>
      </c>
      <c r="E668" t="s">
        <v>8221</v>
      </c>
      <c r="F668">
        <v>5</v>
      </c>
    </row>
    <row r="669" spans="2:6" hidden="1" x14ac:dyDescent="0.2">
      <c r="B669" t="s">
        <v>8221</v>
      </c>
      <c r="C669">
        <v>28</v>
      </c>
      <c r="E669" t="s">
        <v>8221</v>
      </c>
      <c r="F669">
        <v>5</v>
      </c>
    </row>
    <row r="670" spans="2:6" hidden="1" x14ac:dyDescent="0.2">
      <c r="B670" t="s">
        <v>8221</v>
      </c>
      <c r="C670">
        <v>25</v>
      </c>
      <c r="E670" t="s">
        <v>8221</v>
      </c>
      <c r="F670">
        <v>5</v>
      </c>
    </row>
    <row r="671" spans="2:6" hidden="1" x14ac:dyDescent="0.2">
      <c r="B671" t="s">
        <v>8221</v>
      </c>
      <c r="C671">
        <v>28</v>
      </c>
      <c r="E671" t="s">
        <v>8221</v>
      </c>
      <c r="F671">
        <v>5</v>
      </c>
    </row>
    <row r="672" spans="2:6" hidden="1" x14ac:dyDescent="0.2">
      <c r="B672" t="s">
        <v>8221</v>
      </c>
      <c r="C672">
        <v>310</v>
      </c>
      <c r="E672" t="s">
        <v>8221</v>
      </c>
      <c r="F672">
        <v>5</v>
      </c>
    </row>
    <row r="673" spans="2:6" hidden="1" x14ac:dyDescent="0.2">
      <c r="B673" t="s">
        <v>8221</v>
      </c>
      <c r="C673">
        <v>15</v>
      </c>
      <c r="E673" t="s">
        <v>8221</v>
      </c>
      <c r="F673">
        <v>5</v>
      </c>
    </row>
    <row r="674" spans="2:6" hidden="1" x14ac:dyDescent="0.2">
      <c r="B674" t="s">
        <v>8221</v>
      </c>
      <c r="C674">
        <v>215</v>
      </c>
      <c r="E674" t="s">
        <v>8221</v>
      </c>
      <c r="F674">
        <v>5</v>
      </c>
    </row>
    <row r="675" spans="2:6" hidden="1" x14ac:dyDescent="0.2">
      <c r="B675" t="s">
        <v>8221</v>
      </c>
      <c r="C675">
        <v>3</v>
      </c>
      <c r="E675" t="s">
        <v>8221</v>
      </c>
      <c r="F675">
        <v>5</v>
      </c>
    </row>
    <row r="676" spans="2:6" hidden="1" x14ac:dyDescent="0.2">
      <c r="B676" t="s">
        <v>8221</v>
      </c>
      <c r="C676">
        <v>2</v>
      </c>
      <c r="E676" t="s">
        <v>8221</v>
      </c>
      <c r="F676">
        <v>5</v>
      </c>
    </row>
    <row r="677" spans="2:6" hidden="1" x14ac:dyDescent="0.2">
      <c r="B677" t="s">
        <v>8221</v>
      </c>
      <c r="C677">
        <v>26</v>
      </c>
      <c r="E677" t="s">
        <v>8221</v>
      </c>
      <c r="F677">
        <v>5</v>
      </c>
    </row>
    <row r="678" spans="2:6" hidden="1" x14ac:dyDescent="0.2">
      <c r="B678" t="s">
        <v>8221</v>
      </c>
      <c r="C678">
        <v>24</v>
      </c>
      <c r="E678" t="s">
        <v>8221</v>
      </c>
      <c r="F678">
        <v>5</v>
      </c>
    </row>
    <row r="679" spans="2:6" hidden="1" x14ac:dyDescent="0.2">
      <c r="B679" t="s">
        <v>8221</v>
      </c>
      <c r="C679">
        <v>96</v>
      </c>
      <c r="E679" t="s">
        <v>8221</v>
      </c>
      <c r="F679">
        <v>5</v>
      </c>
    </row>
    <row r="680" spans="2:6" hidden="1" x14ac:dyDescent="0.2">
      <c r="B680" t="s">
        <v>8221</v>
      </c>
      <c r="C680">
        <v>17</v>
      </c>
      <c r="E680" t="s">
        <v>8221</v>
      </c>
      <c r="F680">
        <v>5</v>
      </c>
    </row>
    <row r="681" spans="2:6" hidden="1" x14ac:dyDescent="0.2">
      <c r="B681" t="s">
        <v>8221</v>
      </c>
      <c r="C681">
        <v>94</v>
      </c>
      <c r="E681" t="s">
        <v>8221</v>
      </c>
      <c r="F681">
        <v>5</v>
      </c>
    </row>
    <row r="682" spans="2:6" hidden="1" x14ac:dyDescent="0.2">
      <c r="B682" t="s">
        <v>8221</v>
      </c>
      <c r="C682">
        <v>129</v>
      </c>
      <c r="E682" t="s">
        <v>8221</v>
      </c>
      <c r="F682">
        <v>5</v>
      </c>
    </row>
    <row r="683" spans="2:6" hidden="1" x14ac:dyDescent="0.2">
      <c r="B683" t="s">
        <v>8221</v>
      </c>
      <c r="C683">
        <v>1</v>
      </c>
      <c r="E683" t="s">
        <v>8221</v>
      </c>
      <c r="F683">
        <v>4</v>
      </c>
    </row>
    <row r="684" spans="2:6" hidden="1" x14ac:dyDescent="0.2">
      <c r="B684" t="s">
        <v>8221</v>
      </c>
      <c r="C684">
        <v>4</v>
      </c>
      <c r="E684" t="s">
        <v>8221</v>
      </c>
      <c r="F684">
        <v>4</v>
      </c>
    </row>
    <row r="685" spans="2:6" hidden="1" x14ac:dyDescent="0.2">
      <c r="B685" t="s">
        <v>8221</v>
      </c>
      <c r="C685">
        <v>3</v>
      </c>
      <c r="E685" t="s">
        <v>8221</v>
      </c>
      <c r="F685">
        <v>4</v>
      </c>
    </row>
    <row r="686" spans="2:6" hidden="1" x14ac:dyDescent="0.2">
      <c r="B686" t="s">
        <v>8221</v>
      </c>
      <c r="C686">
        <v>135</v>
      </c>
      <c r="E686" t="s">
        <v>8221</v>
      </c>
      <c r="F686">
        <v>4</v>
      </c>
    </row>
    <row r="687" spans="2:6" hidden="1" x14ac:dyDescent="0.2">
      <c r="B687" t="s">
        <v>8221</v>
      </c>
      <c r="C687">
        <v>10</v>
      </c>
      <c r="E687" t="s">
        <v>8221</v>
      </c>
      <c r="F687">
        <v>4</v>
      </c>
    </row>
    <row r="688" spans="2:6" hidden="1" x14ac:dyDescent="0.2">
      <c r="B688" t="s">
        <v>8221</v>
      </c>
      <c r="C688">
        <v>0</v>
      </c>
      <c r="E688" t="s">
        <v>8221</v>
      </c>
      <c r="F688">
        <v>4</v>
      </c>
    </row>
    <row r="689" spans="2:6" hidden="1" x14ac:dyDescent="0.2">
      <c r="B689" t="s">
        <v>8221</v>
      </c>
      <c r="C689">
        <v>6</v>
      </c>
      <c r="E689" t="s">
        <v>8221</v>
      </c>
      <c r="F689">
        <v>4</v>
      </c>
    </row>
    <row r="690" spans="2:6" hidden="1" x14ac:dyDescent="0.2">
      <c r="B690" t="s">
        <v>8221</v>
      </c>
      <c r="C690">
        <v>36</v>
      </c>
      <c r="E690" t="s">
        <v>8221</v>
      </c>
      <c r="F690">
        <v>4</v>
      </c>
    </row>
    <row r="691" spans="2:6" hidden="1" x14ac:dyDescent="0.2">
      <c r="B691" t="s">
        <v>8221</v>
      </c>
      <c r="C691">
        <v>336</v>
      </c>
      <c r="E691" t="s">
        <v>8221</v>
      </c>
      <c r="F691">
        <v>4</v>
      </c>
    </row>
    <row r="692" spans="2:6" hidden="1" x14ac:dyDescent="0.2">
      <c r="B692" t="s">
        <v>8221</v>
      </c>
      <c r="C692">
        <v>34</v>
      </c>
      <c r="E692" t="s">
        <v>8221</v>
      </c>
      <c r="F692">
        <v>4</v>
      </c>
    </row>
    <row r="693" spans="2:6" hidden="1" x14ac:dyDescent="0.2">
      <c r="B693" t="s">
        <v>8221</v>
      </c>
      <c r="C693">
        <v>10</v>
      </c>
      <c r="E693" t="s">
        <v>8221</v>
      </c>
      <c r="F693">
        <v>4</v>
      </c>
    </row>
    <row r="694" spans="2:6" hidden="1" x14ac:dyDescent="0.2">
      <c r="B694" t="s">
        <v>8221</v>
      </c>
      <c r="C694">
        <v>201</v>
      </c>
      <c r="E694" t="s">
        <v>8221</v>
      </c>
      <c r="F694">
        <v>4</v>
      </c>
    </row>
    <row r="695" spans="2:6" hidden="1" x14ac:dyDescent="0.2">
      <c r="B695" t="s">
        <v>8221</v>
      </c>
      <c r="C695">
        <v>296</v>
      </c>
      <c r="E695" t="s">
        <v>8221</v>
      </c>
      <c r="F695">
        <v>4</v>
      </c>
    </row>
    <row r="696" spans="2:6" hidden="1" x14ac:dyDescent="0.2">
      <c r="B696" t="s">
        <v>8221</v>
      </c>
      <c r="C696">
        <v>7</v>
      </c>
      <c r="E696" t="s">
        <v>8221</v>
      </c>
      <c r="F696">
        <v>4</v>
      </c>
    </row>
    <row r="697" spans="2:6" hidden="1" x14ac:dyDescent="0.2">
      <c r="B697" t="s">
        <v>8221</v>
      </c>
      <c r="C697">
        <v>7</v>
      </c>
      <c r="E697" t="s">
        <v>8221</v>
      </c>
      <c r="F697">
        <v>4</v>
      </c>
    </row>
    <row r="698" spans="2:6" hidden="1" x14ac:dyDescent="0.2">
      <c r="B698" t="s">
        <v>8221</v>
      </c>
      <c r="C698">
        <v>1</v>
      </c>
      <c r="E698" t="s">
        <v>8221</v>
      </c>
      <c r="F698">
        <v>4</v>
      </c>
    </row>
    <row r="699" spans="2:6" hidden="1" x14ac:dyDescent="0.2">
      <c r="B699" t="s">
        <v>8221</v>
      </c>
      <c r="C699">
        <v>114</v>
      </c>
      <c r="E699" t="s">
        <v>8221</v>
      </c>
      <c r="F699">
        <v>4</v>
      </c>
    </row>
    <row r="700" spans="2:6" hidden="1" x14ac:dyDescent="0.2">
      <c r="B700" t="s">
        <v>8221</v>
      </c>
      <c r="C700">
        <v>29</v>
      </c>
      <c r="E700" t="s">
        <v>8221</v>
      </c>
      <c r="F700">
        <v>4</v>
      </c>
    </row>
    <row r="701" spans="2:6" hidden="1" x14ac:dyDescent="0.2">
      <c r="B701" t="s">
        <v>8221</v>
      </c>
      <c r="C701">
        <v>890</v>
      </c>
      <c r="E701" t="s">
        <v>8221</v>
      </c>
      <c r="F701">
        <v>4</v>
      </c>
    </row>
    <row r="702" spans="2:6" hidden="1" x14ac:dyDescent="0.2">
      <c r="B702" t="s">
        <v>8221</v>
      </c>
      <c r="C702">
        <v>31</v>
      </c>
      <c r="E702" t="s">
        <v>8221</v>
      </c>
      <c r="F702">
        <v>4</v>
      </c>
    </row>
    <row r="703" spans="2:6" hidden="1" x14ac:dyDescent="0.2">
      <c r="B703" t="s">
        <v>8221</v>
      </c>
      <c r="C703">
        <v>21</v>
      </c>
      <c r="E703" t="s">
        <v>8221</v>
      </c>
      <c r="F703">
        <v>4</v>
      </c>
    </row>
    <row r="704" spans="2:6" hidden="1" x14ac:dyDescent="0.2">
      <c r="B704" t="s">
        <v>8221</v>
      </c>
      <c r="C704">
        <v>37</v>
      </c>
      <c r="E704" t="s">
        <v>8221</v>
      </c>
      <c r="F704">
        <v>4</v>
      </c>
    </row>
    <row r="705" spans="2:6" hidden="1" x14ac:dyDescent="0.2">
      <c r="B705" t="s">
        <v>8221</v>
      </c>
      <c r="C705">
        <v>7</v>
      </c>
      <c r="E705" t="s">
        <v>8221</v>
      </c>
      <c r="F705">
        <v>4</v>
      </c>
    </row>
    <row r="706" spans="2:6" hidden="1" x14ac:dyDescent="0.2">
      <c r="B706" t="s">
        <v>8221</v>
      </c>
      <c r="C706">
        <v>4</v>
      </c>
      <c r="E706" t="s">
        <v>8221</v>
      </c>
      <c r="F706">
        <v>4</v>
      </c>
    </row>
    <row r="707" spans="2:6" hidden="1" x14ac:dyDescent="0.2">
      <c r="B707" t="s">
        <v>8221</v>
      </c>
      <c r="C707">
        <v>5</v>
      </c>
      <c r="E707" t="s">
        <v>8221</v>
      </c>
      <c r="F707">
        <v>4</v>
      </c>
    </row>
    <row r="708" spans="2:6" hidden="1" x14ac:dyDescent="0.2">
      <c r="B708" t="s">
        <v>8221</v>
      </c>
      <c r="C708">
        <v>0</v>
      </c>
      <c r="E708" t="s">
        <v>8221</v>
      </c>
      <c r="F708">
        <v>4</v>
      </c>
    </row>
    <row r="709" spans="2:6" hidden="1" x14ac:dyDescent="0.2">
      <c r="B709" t="s">
        <v>8221</v>
      </c>
      <c r="C709">
        <v>456</v>
      </c>
      <c r="E709" t="s">
        <v>8221</v>
      </c>
      <c r="F709">
        <v>4</v>
      </c>
    </row>
    <row r="710" spans="2:6" hidden="1" x14ac:dyDescent="0.2">
      <c r="B710" t="s">
        <v>8221</v>
      </c>
      <c r="C710">
        <v>369</v>
      </c>
      <c r="E710" t="s">
        <v>8221</v>
      </c>
      <c r="F710">
        <v>4</v>
      </c>
    </row>
    <row r="711" spans="2:6" hidden="1" x14ac:dyDescent="0.2">
      <c r="B711" t="s">
        <v>8221</v>
      </c>
      <c r="C711">
        <v>2</v>
      </c>
      <c r="E711" t="s">
        <v>8221</v>
      </c>
      <c r="F711">
        <v>4</v>
      </c>
    </row>
    <row r="712" spans="2:6" hidden="1" x14ac:dyDescent="0.2">
      <c r="B712" t="s">
        <v>8221</v>
      </c>
      <c r="C712">
        <v>0</v>
      </c>
      <c r="E712" t="s">
        <v>8221</v>
      </c>
      <c r="F712">
        <v>4</v>
      </c>
    </row>
    <row r="713" spans="2:6" hidden="1" x14ac:dyDescent="0.2">
      <c r="B713" t="s">
        <v>8221</v>
      </c>
      <c r="C713">
        <v>338</v>
      </c>
      <c r="E713" t="s">
        <v>8221</v>
      </c>
      <c r="F713">
        <v>4</v>
      </c>
    </row>
    <row r="714" spans="2:6" hidden="1" x14ac:dyDescent="0.2">
      <c r="B714" t="s">
        <v>8221</v>
      </c>
      <c r="C714">
        <v>4</v>
      </c>
      <c r="E714" t="s">
        <v>8221</v>
      </c>
      <c r="F714">
        <v>4</v>
      </c>
    </row>
    <row r="715" spans="2:6" hidden="1" x14ac:dyDescent="0.2">
      <c r="B715" t="s">
        <v>8221</v>
      </c>
      <c r="C715">
        <v>1</v>
      </c>
      <c r="E715" t="s">
        <v>8221</v>
      </c>
      <c r="F715">
        <v>4</v>
      </c>
    </row>
    <row r="716" spans="2:6" hidden="1" x14ac:dyDescent="0.2">
      <c r="B716" t="s">
        <v>8221</v>
      </c>
      <c r="C716">
        <v>28</v>
      </c>
      <c r="E716" t="s">
        <v>8221</v>
      </c>
      <c r="F716">
        <v>4</v>
      </c>
    </row>
    <row r="717" spans="2:6" hidden="1" x14ac:dyDescent="0.2">
      <c r="B717" t="s">
        <v>8221</v>
      </c>
      <c r="C717">
        <v>12</v>
      </c>
      <c r="E717" t="s">
        <v>8221</v>
      </c>
      <c r="F717">
        <v>4</v>
      </c>
    </row>
    <row r="718" spans="2:6" hidden="1" x14ac:dyDescent="0.2">
      <c r="B718" t="s">
        <v>8221</v>
      </c>
      <c r="C718">
        <v>16</v>
      </c>
      <c r="E718" t="s">
        <v>8221</v>
      </c>
      <c r="F718">
        <v>4</v>
      </c>
    </row>
    <row r="719" spans="2:6" hidden="1" x14ac:dyDescent="0.2">
      <c r="B719" t="s">
        <v>8221</v>
      </c>
      <c r="C719">
        <v>4</v>
      </c>
      <c r="E719" t="s">
        <v>8221</v>
      </c>
      <c r="F719">
        <v>4</v>
      </c>
    </row>
    <row r="720" spans="2:6" hidden="1" x14ac:dyDescent="0.2">
      <c r="B720" t="s">
        <v>8221</v>
      </c>
      <c r="C720">
        <v>4</v>
      </c>
      <c r="E720" t="s">
        <v>8221</v>
      </c>
      <c r="F720">
        <v>4</v>
      </c>
    </row>
    <row r="721" spans="2:6" hidden="1" x14ac:dyDescent="0.2">
      <c r="B721" t="s">
        <v>8221</v>
      </c>
      <c r="C721">
        <v>10</v>
      </c>
      <c r="E721" t="s">
        <v>8221</v>
      </c>
      <c r="F721">
        <v>4</v>
      </c>
    </row>
    <row r="722" spans="2:6" x14ac:dyDescent="0.2">
      <c r="B722" t="s">
        <v>8219</v>
      </c>
      <c r="C722">
        <v>229</v>
      </c>
      <c r="E722" t="s">
        <v>8221</v>
      </c>
      <c r="F722">
        <v>4</v>
      </c>
    </row>
    <row r="723" spans="2:6" x14ac:dyDescent="0.2">
      <c r="B723" t="s">
        <v>8219</v>
      </c>
      <c r="C723">
        <v>229</v>
      </c>
      <c r="E723" t="s">
        <v>8221</v>
      </c>
      <c r="F723">
        <v>4</v>
      </c>
    </row>
    <row r="724" spans="2:6" x14ac:dyDescent="0.2">
      <c r="B724" t="s">
        <v>8219</v>
      </c>
      <c r="C724">
        <v>227</v>
      </c>
      <c r="E724" t="s">
        <v>8221</v>
      </c>
      <c r="F724">
        <v>4</v>
      </c>
    </row>
    <row r="725" spans="2:6" x14ac:dyDescent="0.2">
      <c r="B725" t="s">
        <v>8219</v>
      </c>
      <c r="C725">
        <v>226</v>
      </c>
      <c r="E725" t="s">
        <v>8221</v>
      </c>
      <c r="F725">
        <v>4</v>
      </c>
    </row>
    <row r="726" spans="2:6" x14ac:dyDescent="0.2">
      <c r="B726" t="s">
        <v>8219</v>
      </c>
      <c r="C726">
        <v>226</v>
      </c>
      <c r="E726" t="s">
        <v>8221</v>
      </c>
      <c r="F726">
        <v>4</v>
      </c>
    </row>
    <row r="727" spans="2:6" x14ac:dyDescent="0.2">
      <c r="B727" t="s">
        <v>8219</v>
      </c>
      <c r="C727">
        <v>226</v>
      </c>
      <c r="E727" t="s">
        <v>8221</v>
      </c>
      <c r="F727">
        <v>4</v>
      </c>
    </row>
    <row r="728" spans="2:6" x14ac:dyDescent="0.2">
      <c r="B728" t="s">
        <v>8219</v>
      </c>
      <c r="C728">
        <v>224</v>
      </c>
      <c r="E728" t="s">
        <v>8221</v>
      </c>
      <c r="F728">
        <v>4</v>
      </c>
    </row>
    <row r="729" spans="2:6" x14ac:dyDescent="0.2">
      <c r="B729" t="s">
        <v>8219</v>
      </c>
      <c r="C729">
        <v>223</v>
      </c>
      <c r="E729" t="s">
        <v>8221</v>
      </c>
      <c r="F729">
        <v>4</v>
      </c>
    </row>
    <row r="730" spans="2:6" x14ac:dyDescent="0.2">
      <c r="B730" t="s">
        <v>8219</v>
      </c>
      <c r="C730">
        <v>222</v>
      </c>
      <c r="E730" t="s">
        <v>8221</v>
      </c>
      <c r="F730">
        <v>4</v>
      </c>
    </row>
    <row r="731" spans="2:6" x14ac:dyDescent="0.2">
      <c r="B731" t="s">
        <v>8219</v>
      </c>
      <c r="C731">
        <v>222</v>
      </c>
      <c r="E731" t="s">
        <v>8221</v>
      </c>
      <c r="F731">
        <v>4</v>
      </c>
    </row>
    <row r="732" spans="2:6" x14ac:dyDescent="0.2">
      <c r="B732" t="s">
        <v>8219</v>
      </c>
      <c r="C732">
        <v>221</v>
      </c>
      <c r="E732" t="s">
        <v>8221</v>
      </c>
      <c r="F732">
        <v>4</v>
      </c>
    </row>
    <row r="733" spans="2:6" x14ac:dyDescent="0.2">
      <c r="B733" t="s">
        <v>8219</v>
      </c>
      <c r="C733">
        <v>221</v>
      </c>
      <c r="E733" t="s">
        <v>8221</v>
      </c>
      <c r="F733">
        <v>4</v>
      </c>
    </row>
    <row r="734" spans="2:6" x14ac:dyDescent="0.2">
      <c r="B734" t="s">
        <v>8219</v>
      </c>
      <c r="C734">
        <v>221</v>
      </c>
      <c r="E734" t="s">
        <v>8221</v>
      </c>
      <c r="F734">
        <v>4</v>
      </c>
    </row>
    <row r="735" spans="2:6" x14ac:dyDescent="0.2">
      <c r="B735" t="s">
        <v>8219</v>
      </c>
      <c r="C735">
        <v>220</v>
      </c>
      <c r="E735" t="s">
        <v>8221</v>
      </c>
      <c r="F735">
        <v>4</v>
      </c>
    </row>
    <row r="736" spans="2:6" x14ac:dyDescent="0.2">
      <c r="B736" t="s">
        <v>8219</v>
      </c>
      <c r="C736">
        <v>218</v>
      </c>
      <c r="E736" t="s">
        <v>8221</v>
      </c>
      <c r="F736">
        <v>4</v>
      </c>
    </row>
    <row r="737" spans="2:6" x14ac:dyDescent="0.2">
      <c r="B737" t="s">
        <v>8219</v>
      </c>
      <c r="C737">
        <v>218</v>
      </c>
      <c r="E737" t="s">
        <v>8221</v>
      </c>
      <c r="F737">
        <v>4</v>
      </c>
    </row>
    <row r="738" spans="2:6" x14ac:dyDescent="0.2">
      <c r="B738" t="s">
        <v>8219</v>
      </c>
      <c r="C738">
        <v>217</v>
      </c>
      <c r="E738" t="s">
        <v>8221</v>
      </c>
      <c r="F738">
        <v>4</v>
      </c>
    </row>
    <row r="739" spans="2:6" x14ac:dyDescent="0.2">
      <c r="B739" t="s">
        <v>8219</v>
      </c>
      <c r="C739">
        <v>217</v>
      </c>
      <c r="E739" t="s">
        <v>8221</v>
      </c>
      <c r="F739">
        <v>4</v>
      </c>
    </row>
    <row r="740" spans="2:6" x14ac:dyDescent="0.2">
      <c r="B740" t="s">
        <v>8219</v>
      </c>
      <c r="C740">
        <v>216</v>
      </c>
      <c r="E740" t="s">
        <v>8221</v>
      </c>
      <c r="F740">
        <v>4</v>
      </c>
    </row>
    <row r="741" spans="2:6" x14ac:dyDescent="0.2">
      <c r="B741" t="s">
        <v>8219</v>
      </c>
      <c r="C741">
        <v>215</v>
      </c>
      <c r="E741" t="s">
        <v>8221</v>
      </c>
      <c r="F741">
        <v>4</v>
      </c>
    </row>
    <row r="742" spans="2:6" x14ac:dyDescent="0.2">
      <c r="B742" t="s">
        <v>8219</v>
      </c>
      <c r="C742">
        <v>213</v>
      </c>
      <c r="E742" t="s">
        <v>8221</v>
      </c>
      <c r="F742">
        <v>4</v>
      </c>
    </row>
    <row r="743" spans="2:6" x14ac:dyDescent="0.2">
      <c r="B743" t="s">
        <v>8219</v>
      </c>
      <c r="C743">
        <v>213</v>
      </c>
      <c r="E743" t="s">
        <v>8221</v>
      </c>
      <c r="F743">
        <v>4</v>
      </c>
    </row>
    <row r="744" spans="2:6" x14ac:dyDescent="0.2">
      <c r="B744" t="s">
        <v>8219</v>
      </c>
      <c r="C744">
        <v>211</v>
      </c>
      <c r="E744" t="s">
        <v>8221</v>
      </c>
      <c r="F744">
        <v>4</v>
      </c>
    </row>
    <row r="745" spans="2:6" x14ac:dyDescent="0.2">
      <c r="B745" t="s">
        <v>8219</v>
      </c>
      <c r="C745">
        <v>211</v>
      </c>
      <c r="E745" t="s">
        <v>8221</v>
      </c>
      <c r="F745">
        <v>4</v>
      </c>
    </row>
    <row r="746" spans="2:6" x14ac:dyDescent="0.2">
      <c r="B746" t="s">
        <v>8219</v>
      </c>
      <c r="C746">
        <v>211</v>
      </c>
      <c r="E746" t="s">
        <v>8221</v>
      </c>
      <c r="F746">
        <v>4</v>
      </c>
    </row>
    <row r="747" spans="2:6" x14ac:dyDescent="0.2">
      <c r="B747" t="s">
        <v>8219</v>
      </c>
      <c r="C747">
        <v>210</v>
      </c>
      <c r="E747" t="s">
        <v>8221</v>
      </c>
      <c r="F747">
        <v>4</v>
      </c>
    </row>
    <row r="748" spans="2:6" x14ac:dyDescent="0.2">
      <c r="B748" t="s">
        <v>8219</v>
      </c>
      <c r="C748">
        <v>209</v>
      </c>
      <c r="E748" t="s">
        <v>8221</v>
      </c>
      <c r="F748">
        <v>4</v>
      </c>
    </row>
    <row r="749" spans="2:6" x14ac:dyDescent="0.2">
      <c r="B749" t="s">
        <v>8219</v>
      </c>
      <c r="C749">
        <v>208</v>
      </c>
      <c r="E749" t="s">
        <v>8221</v>
      </c>
      <c r="F749">
        <v>4</v>
      </c>
    </row>
    <row r="750" spans="2:6" x14ac:dyDescent="0.2">
      <c r="B750" t="s">
        <v>8219</v>
      </c>
      <c r="C750">
        <v>207</v>
      </c>
      <c r="E750" t="s">
        <v>8221</v>
      </c>
      <c r="F750">
        <v>4</v>
      </c>
    </row>
    <row r="751" spans="2:6" x14ac:dyDescent="0.2">
      <c r="B751" t="s">
        <v>8219</v>
      </c>
      <c r="C751">
        <v>207</v>
      </c>
      <c r="E751" t="s">
        <v>8221</v>
      </c>
      <c r="F751">
        <v>4</v>
      </c>
    </row>
    <row r="752" spans="2:6" x14ac:dyDescent="0.2">
      <c r="B752" t="s">
        <v>8219</v>
      </c>
      <c r="C752">
        <v>206</v>
      </c>
      <c r="E752" t="s">
        <v>8221</v>
      </c>
      <c r="F752">
        <v>4</v>
      </c>
    </row>
    <row r="753" spans="2:6" x14ac:dyDescent="0.2">
      <c r="B753" t="s">
        <v>8219</v>
      </c>
      <c r="C753">
        <v>206</v>
      </c>
      <c r="E753" t="s">
        <v>8221</v>
      </c>
      <c r="F753">
        <v>4</v>
      </c>
    </row>
    <row r="754" spans="2:6" x14ac:dyDescent="0.2">
      <c r="B754" t="s">
        <v>8219</v>
      </c>
      <c r="C754">
        <v>206</v>
      </c>
      <c r="E754" t="s">
        <v>8221</v>
      </c>
      <c r="F754">
        <v>4</v>
      </c>
    </row>
    <row r="755" spans="2:6" x14ac:dyDescent="0.2">
      <c r="B755" t="s">
        <v>8219</v>
      </c>
      <c r="C755">
        <v>206</v>
      </c>
      <c r="E755" t="s">
        <v>8221</v>
      </c>
      <c r="F755">
        <v>4</v>
      </c>
    </row>
    <row r="756" spans="2:6" x14ac:dyDescent="0.2">
      <c r="B756" t="s">
        <v>8219</v>
      </c>
      <c r="C756">
        <v>206</v>
      </c>
      <c r="E756" t="s">
        <v>8221</v>
      </c>
      <c r="F756">
        <v>4</v>
      </c>
    </row>
    <row r="757" spans="2:6" x14ac:dyDescent="0.2">
      <c r="B757" t="s">
        <v>8219</v>
      </c>
      <c r="C757">
        <v>205</v>
      </c>
      <c r="E757" t="s">
        <v>8221</v>
      </c>
      <c r="F757">
        <v>4</v>
      </c>
    </row>
    <row r="758" spans="2:6" x14ac:dyDescent="0.2">
      <c r="B758" t="s">
        <v>8219</v>
      </c>
      <c r="C758">
        <v>205</v>
      </c>
      <c r="E758" t="s">
        <v>8221</v>
      </c>
      <c r="F758">
        <v>4</v>
      </c>
    </row>
    <row r="759" spans="2:6" x14ac:dyDescent="0.2">
      <c r="B759" t="s">
        <v>8219</v>
      </c>
      <c r="C759">
        <v>205</v>
      </c>
      <c r="E759" t="s">
        <v>8221</v>
      </c>
      <c r="F759">
        <v>4</v>
      </c>
    </row>
    <row r="760" spans="2:6" x14ac:dyDescent="0.2">
      <c r="B760" t="s">
        <v>8219</v>
      </c>
      <c r="C760">
        <v>205</v>
      </c>
      <c r="E760" t="s">
        <v>8221</v>
      </c>
      <c r="F760">
        <v>4</v>
      </c>
    </row>
    <row r="761" spans="2:6" x14ac:dyDescent="0.2">
      <c r="B761" t="s">
        <v>8219</v>
      </c>
      <c r="C761">
        <v>204</v>
      </c>
      <c r="E761" t="s">
        <v>8221</v>
      </c>
      <c r="F761">
        <v>4</v>
      </c>
    </row>
    <row r="762" spans="2:6" hidden="1" x14ac:dyDescent="0.2">
      <c r="B762" t="s">
        <v>8221</v>
      </c>
      <c r="C762">
        <v>0</v>
      </c>
      <c r="E762" t="s">
        <v>8221</v>
      </c>
      <c r="F762">
        <v>4</v>
      </c>
    </row>
    <row r="763" spans="2:6" hidden="1" x14ac:dyDescent="0.2">
      <c r="B763" t="s">
        <v>8221</v>
      </c>
      <c r="C763">
        <v>6</v>
      </c>
      <c r="E763" t="s">
        <v>8221</v>
      </c>
      <c r="F763">
        <v>4</v>
      </c>
    </row>
    <row r="764" spans="2:6" hidden="1" x14ac:dyDescent="0.2">
      <c r="B764" t="s">
        <v>8221</v>
      </c>
      <c r="C764">
        <v>0</v>
      </c>
      <c r="E764" t="s">
        <v>8221</v>
      </c>
      <c r="F764">
        <v>4</v>
      </c>
    </row>
    <row r="765" spans="2:6" hidden="1" x14ac:dyDescent="0.2">
      <c r="B765" t="s">
        <v>8221</v>
      </c>
      <c r="C765">
        <v>1</v>
      </c>
      <c r="E765" t="s">
        <v>8221</v>
      </c>
      <c r="F765">
        <v>4</v>
      </c>
    </row>
    <row r="766" spans="2:6" hidden="1" x14ac:dyDescent="0.2">
      <c r="B766" t="s">
        <v>8221</v>
      </c>
      <c r="C766">
        <v>0</v>
      </c>
      <c r="E766" t="s">
        <v>8221</v>
      </c>
      <c r="F766">
        <v>4</v>
      </c>
    </row>
    <row r="767" spans="2:6" hidden="1" x14ac:dyDescent="0.2">
      <c r="B767" t="s">
        <v>8221</v>
      </c>
      <c r="C767">
        <v>44</v>
      </c>
      <c r="E767" t="s">
        <v>8221</v>
      </c>
      <c r="F767">
        <v>4</v>
      </c>
    </row>
    <row r="768" spans="2:6" hidden="1" x14ac:dyDescent="0.2">
      <c r="B768" t="s">
        <v>8221</v>
      </c>
      <c r="C768">
        <v>0</v>
      </c>
      <c r="E768" t="s">
        <v>8221</v>
      </c>
      <c r="F768">
        <v>4</v>
      </c>
    </row>
    <row r="769" spans="2:6" hidden="1" x14ac:dyDescent="0.2">
      <c r="B769" t="s">
        <v>8221</v>
      </c>
      <c r="C769">
        <v>3</v>
      </c>
      <c r="E769" t="s">
        <v>8221</v>
      </c>
      <c r="F769">
        <v>4</v>
      </c>
    </row>
    <row r="770" spans="2:6" hidden="1" x14ac:dyDescent="0.2">
      <c r="B770" t="s">
        <v>8221</v>
      </c>
      <c r="C770">
        <v>0</v>
      </c>
      <c r="E770" t="s">
        <v>8221</v>
      </c>
      <c r="F770">
        <v>4</v>
      </c>
    </row>
    <row r="771" spans="2:6" hidden="1" x14ac:dyDescent="0.2">
      <c r="B771" t="s">
        <v>8221</v>
      </c>
      <c r="C771">
        <v>52</v>
      </c>
      <c r="E771" t="s">
        <v>8221</v>
      </c>
      <c r="F771">
        <v>4</v>
      </c>
    </row>
    <row r="772" spans="2:6" hidden="1" x14ac:dyDescent="0.2">
      <c r="B772" t="s">
        <v>8221</v>
      </c>
      <c r="C772">
        <v>0</v>
      </c>
      <c r="E772" t="s">
        <v>8221</v>
      </c>
      <c r="F772">
        <v>4</v>
      </c>
    </row>
    <row r="773" spans="2:6" hidden="1" x14ac:dyDescent="0.2">
      <c r="B773" t="s">
        <v>8221</v>
      </c>
      <c r="C773">
        <v>1</v>
      </c>
      <c r="E773" t="s">
        <v>8221</v>
      </c>
      <c r="F773">
        <v>4</v>
      </c>
    </row>
    <row r="774" spans="2:6" hidden="1" x14ac:dyDescent="0.2">
      <c r="B774" t="s">
        <v>8221</v>
      </c>
      <c r="C774">
        <v>1</v>
      </c>
      <c r="E774" t="s">
        <v>8221</v>
      </c>
      <c r="F774">
        <v>4</v>
      </c>
    </row>
    <row r="775" spans="2:6" hidden="1" x14ac:dyDescent="0.2">
      <c r="B775" t="s">
        <v>8221</v>
      </c>
      <c r="C775">
        <v>2</v>
      </c>
      <c r="E775" t="s">
        <v>8221</v>
      </c>
      <c r="F775">
        <v>4</v>
      </c>
    </row>
    <row r="776" spans="2:6" hidden="1" x14ac:dyDescent="0.2">
      <c r="B776" t="s">
        <v>8221</v>
      </c>
      <c r="C776">
        <v>9</v>
      </c>
      <c r="E776" t="s">
        <v>8221</v>
      </c>
      <c r="F776">
        <v>4</v>
      </c>
    </row>
    <row r="777" spans="2:6" hidden="1" x14ac:dyDescent="0.2">
      <c r="B777" t="s">
        <v>8221</v>
      </c>
      <c r="C777">
        <v>5</v>
      </c>
      <c r="E777" t="s">
        <v>8221</v>
      </c>
      <c r="F777">
        <v>4</v>
      </c>
    </row>
    <row r="778" spans="2:6" hidden="1" x14ac:dyDescent="0.2">
      <c r="B778" t="s">
        <v>8221</v>
      </c>
      <c r="C778">
        <v>57</v>
      </c>
      <c r="E778" t="s">
        <v>8221</v>
      </c>
      <c r="F778">
        <v>4</v>
      </c>
    </row>
    <row r="779" spans="2:6" hidden="1" x14ac:dyDescent="0.2">
      <c r="B779" t="s">
        <v>8221</v>
      </c>
      <c r="C779">
        <v>3</v>
      </c>
      <c r="E779" t="s">
        <v>8221</v>
      </c>
      <c r="F779">
        <v>4</v>
      </c>
    </row>
    <row r="780" spans="2:6" hidden="1" x14ac:dyDescent="0.2">
      <c r="B780" t="s">
        <v>8221</v>
      </c>
      <c r="C780">
        <v>1</v>
      </c>
      <c r="E780" t="s">
        <v>8221</v>
      </c>
      <c r="F780">
        <v>4</v>
      </c>
    </row>
    <row r="781" spans="2:6" hidden="1" x14ac:dyDescent="0.2">
      <c r="B781" t="s">
        <v>8221</v>
      </c>
      <c r="C781">
        <v>6</v>
      </c>
      <c r="E781" t="s">
        <v>8221</v>
      </c>
      <c r="F781">
        <v>3</v>
      </c>
    </row>
    <row r="782" spans="2:6" x14ac:dyDescent="0.2">
      <c r="B782" t="s">
        <v>8219</v>
      </c>
      <c r="C782">
        <v>204</v>
      </c>
      <c r="E782" t="s">
        <v>8221</v>
      </c>
      <c r="F782">
        <v>3</v>
      </c>
    </row>
    <row r="783" spans="2:6" x14ac:dyDescent="0.2">
      <c r="B783" t="s">
        <v>8219</v>
      </c>
      <c r="C783">
        <v>203</v>
      </c>
      <c r="E783" t="s">
        <v>8221</v>
      </c>
      <c r="F783">
        <v>3</v>
      </c>
    </row>
    <row r="784" spans="2:6" x14ac:dyDescent="0.2">
      <c r="B784" t="s">
        <v>8219</v>
      </c>
      <c r="C784">
        <v>202</v>
      </c>
      <c r="E784" t="s">
        <v>8221</v>
      </c>
      <c r="F784">
        <v>3</v>
      </c>
    </row>
    <row r="785" spans="2:6" x14ac:dyDescent="0.2">
      <c r="B785" t="s">
        <v>8219</v>
      </c>
      <c r="C785">
        <v>202</v>
      </c>
      <c r="E785" t="s">
        <v>8221</v>
      </c>
      <c r="F785">
        <v>3</v>
      </c>
    </row>
    <row r="786" spans="2:6" x14ac:dyDescent="0.2">
      <c r="B786" t="s">
        <v>8219</v>
      </c>
      <c r="C786">
        <v>202</v>
      </c>
      <c r="E786" t="s">
        <v>8221</v>
      </c>
      <c r="F786">
        <v>3</v>
      </c>
    </row>
    <row r="787" spans="2:6" x14ac:dyDescent="0.2">
      <c r="B787" t="s">
        <v>8219</v>
      </c>
      <c r="C787">
        <v>202</v>
      </c>
      <c r="E787" t="s">
        <v>8221</v>
      </c>
      <c r="F787">
        <v>3</v>
      </c>
    </row>
    <row r="788" spans="2:6" x14ac:dyDescent="0.2">
      <c r="B788" t="s">
        <v>8219</v>
      </c>
      <c r="C788">
        <v>200</v>
      </c>
      <c r="E788" t="s">
        <v>8221</v>
      </c>
      <c r="F788">
        <v>3</v>
      </c>
    </row>
    <row r="789" spans="2:6" x14ac:dyDescent="0.2">
      <c r="B789" t="s">
        <v>8219</v>
      </c>
      <c r="C789">
        <v>200</v>
      </c>
      <c r="E789" t="s">
        <v>8221</v>
      </c>
      <c r="F789">
        <v>3</v>
      </c>
    </row>
    <row r="790" spans="2:6" x14ac:dyDescent="0.2">
      <c r="B790" t="s">
        <v>8219</v>
      </c>
      <c r="C790">
        <v>199</v>
      </c>
      <c r="E790" t="s">
        <v>8221</v>
      </c>
      <c r="F790">
        <v>3</v>
      </c>
    </row>
    <row r="791" spans="2:6" x14ac:dyDescent="0.2">
      <c r="B791" t="s">
        <v>8219</v>
      </c>
      <c r="C791">
        <v>199</v>
      </c>
      <c r="E791" t="s">
        <v>8221</v>
      </c>
      <c r="F791">
        <v>3</v>
      </c>
    </row>
    <row r="792" spans="2:6" x14ac:dyDescent="0.2">
      <c r="B792" t="s">
        <v>8219</v>
      </c>
      <c r="C792">
        <v>199</v>
      </c>
      <c r="E792" t="s">
        <v>8221</v>
      </c>
      <c r="F792">
        <v>3</v>
      </c>
    </row>
    <row r="793" spans="2:6" x14ac:dyDescent="0.2">
      <c r="B793" t="s">
        <v>8219</v>
      </c>
      <c r="C793">
        <v>197</v>
      </c>
      <c r="E793" t="s">
        <v>8221</v>
      </c>
      <c r="F793">
        <v>3</v>
      </c>
    </row>
    <row r="794" spans="2:6" x14ac:dyDescent="0.2">
      <c r="B794" t="s">
        <v>8219</v>
      </c>
      <c r="C794">
        <v>197</v>
      </c>
      <c r="E794" t="s">
        <v>8221</v>
      </c>
      <c r="F794">
        <v>3</v>
      </c>
    </row>
    <row r="795" spans="2:6" x14ac:dyDescent="0.2">
      <c r="B795" t="s">
        <v>8219</v>
      </c>
      <c r="C795">
        <v>196</v>
      </c>
      <c r="E795" t="s">
        <v>8221</v>
      </c>
      <c r="F795">
        <v>3</v>
      </c>
    </row>
    <row r="796" spans="2:6" x14ac:dyDescent="0.2">
      <c r="B796" t="s">
        <v>8219</v>
      </c>
      <c r="C796">
        <v>196</v>
      </c>
      <c r="E796" t="s">
        <v>8221</v>
      </c>
      <c r="F796">
        <v>3</v>
      </c>
    </row>
    <row r="797" spans="2:6" x14ac:dyDescent="0.2">
      <c r="B797" t="s">
        <v>8219</v>
      </c>
      <c r="C797">
        <v>196</v>
      </c>
      <c r="E797" t="s">
        <v>8221</v>
      </c>
      <c r="F797">
        <v>3</v>
      </c>
    </row>
    <row r="798" spans="2:6" x14ac:dyDescent="0.2">
      <c r="B798" t="s">
        <v>8219</v>
      </c>
      <c r="C798">
        <v>194</v>
      </c>
      <c r="E798" t="s">
        <v>8221</v>
      </c>
      <c r="F798">
        <v>3</v>
      </c>
    </row>
    <row r="799" spans="2:6" x14ac:dyDescent="0.2">
      <c r="B799" t="s">
        <v>8219</v>
      </c>
      <c r="C799">
        <v>194</v>
      </c>
      <c r="E799" t="s">
        <v>8221</v>
      </c>
      <c r="F799">
        <v>3</v>
      </c>
    </row>
    <row r="800" spans="2:6" x14ac:dyDescent="0.2">
      <c r="B800" t="s">
        <v>8219</v>
      </c>
      <c r="C800">
        <v>193</v>
      </c>
      <c r="E800" t="s">
        <v>8221</v>
      </c>
      <c r="F800">
        <v>3</v>
      </c>
    </row>
    <row r="801" spans="2:6" x14ac:dyDescent="0.2">
      <c r="B801" t="s">
        <v>8219</v>
      </c>
      <c r="C801">
        <v>193</v>
      </c>
      <c r="E801" t="s">
        <v>8221</v>
      </c>
      <c r="F801">
        <v>3</v>
      </c>
    </row>
    <row r="802" spans="2:6" x14ac:dyDescent="0.2">
      <c r="B802" t="s">
        <v>8219</v>
      </c>
      <c r="C802">
        <v>193</v>
      </c>
      <c r="E802" t="s">
        <v>8221</v>
      </c>
      <c r="F802">
        <v>3</v>
      </c>
    </row>
    <row r="803" spans="2:6" x14ac:dyDescent="0.2">
      <c r="B803" t="s">
        <v>8219</v>
      </c>
      <c r="C803">
        <v>191</v>
      </c>
      <c r="E803" t="s">
        <v>8221</v>
      </c>
      <c r="F803">
        <v>3</v>
      </c>
    </row>
    <row r="804" spans="2:6" x14ac:dyDescent="0.2">
      <c r="B804" t="s">
        <v>8219</v>
      </c>
      <c r="C804">
        <v>191</v>
      </c>
      <c r="E804" t="s">
        <v>8221</v>
      </c>
      <c r="F804">
        <v>3</v>
      </c>
    </row>
    <row r="805" spans="2:6" x14ac:dyDescent="0.2">
      <c r="B805" t="s">
        <v>8219</v>
      </c>
      <c r="C805">
        <v>191</v>
      </c>
      <c r="E805" t="s">
        <v>8221</v>
      </c>
      <c r="F805">
        <v>3</v>
      </c>
    </row>
    <row r="806" spans="2:6" x14ac:dyDescent="0.2">
      <c r="B806" t="s">
        <v>8219</v>
      </c>
      <c r="C806">
        <v>191</v>
      </c>
      <c r="E806" t="s">
        <v>8221</v>
      </c>
      <c r="F806">
        <v>3</v>
      </c>
    </row>
    <row r="807" spans="2:6" x14ac:dyDescent="0.2">
      <c r="B807" t="s">
        <v>8219</v>
      </c>
      <c r="C807">
        <v>191</v>
      </c>
      <c r="E807" t="s">
        <v>8221</v>
      </c>
      <c r="F807">
        <v>3</v>
      </c>
    </row>
    <row r="808" spans="2:6" x14ac:dyDescent="0.2">
      <c r="B808" t="s">
        <v>8219</v>
      </c>
      <c r="C808">
        <v>190</v>
      </c>
      <c r="E808" t="s">
        <v>8221</v>
      </c>
      <c r="F808">
        <v>3</v>
      </c>
    </row>
    <row r="809" spans="2:6" x14ac:dyDescent="0.2">
      <c r="B809" t="s">
        <v>8219</v>
      </c>
      <c r="C809">
        <v>190</v>
      </c>
      <c r="E809" t="s">
        <v>8221</v>
      </c>
      <c r="F809">
        <v>3</v>
      </c>
    </row>
    <row r="810" spans="2:6" x14ac:dyDescent="0.2">
      <c r="B810" t="s">
        <v>8219</v>
      </c>
      <c r="C810">
        <v>189</v>
      </c>
      <c r="E810" t="s">
        <v>8221</v>
      </c>
      <c r="F810">
        <v>3</v>
      </c>
    </row>
    <row r="811" spans="2:6" x14ac:dyDescent="0.2">
      <c r="B811" t="s">
        <v>8219</v>
      </c>
      <c r="C811">
        <v>189</v>
      </c>
      <c r="E811" t="s">
        <v>8221</v>
      </c>
      <c r="F811">
        <v>3</v>
      </c>
    </row>
    <row r="812" spans="2:6" x14ac:dyDescent="0.2">
      <c r="B812" t="s">
        <v>8219</v>
      </c>
      <c r="C812">
        <v>188</v>
      </c>
      <c r="E812" t="s">
        <v>8221</v>
      </c>
      <c r="F812">
        <v>3</v>
      </c>
    </row>
    <row r="813" spans="2:6" x14ac:dyDescent="0.2">
      <c r="B813" t="s">
        <v>8219</v>
      </c>
      <c r="C813">
        <v>188</v>
      </c>
      <c r="E813" t="s">
        <v>8221</v>
      </c>
      <c r="F813">
        <v>3</v>
      </c>
    </row>
    <row r="814" spans="2:6" x14ac:dyDescent="0.2">
      <c r="B814" t="s">
        <v>8219</v>
      </c>
      <c r="C814">
        <v>188</v>
      </c>
      <c r="E814" t="s">
        <v>8221</v>
      </c>
      <c r="F814">
        <v>3</v>
      </c>
    </row>
    <row r="815" spans="2:6" x14ac:dyDescent="0.2">
      <c r="B815" t="s">
        <v>8219</v>
      </c>
      <c r="C815">
        <v>187</v>
      </c>
      <c r="E815" t="s">
        <v>8221</v>
      </c>
      <c r="F815">
        <v>3</v>
      </c>
    </row>
    <row r="816" spans="2:6" x14ac:dyDescent="0.2">
      <c r="B816" t="s">
        <v>8219</v>
      </c>
      <c r="C816">
        <v>186</v>
      </c>
      <c r="E816" t="s">
        <v>8221</v>
      </c>
      <c r="F816">
        <v>3</v>
      </c>
    </row>
    <row r="817" spans="2:6" x14ac:dyDescent="0.2">
      <c r="B817" t="s">
        <v>8219</v>
      </c>
      <c r="C817">
        <v>186</v>
      </c>
      <c r="E817" t="s">
        <v>8221</v>
      </c>
      <c r="F817">
        <v>3</v>
      </c>
    </row>
    <row r="818" spans="2:6" x14ac:dyDescent="0.2">
      <c r="B818" t="s">
        <v>8219</v>
      </c>
      <c r="C818">
        <v>186</v>
      </c>
      <c r="E818" t="s">
        <v>8221</v>
      </c>
      <c r="F818">
        <v>3</v>
      </c>
    </row>
    <row r="819" spans="2:6" x14ac:dyDescent="0.2">
      <c r="B819" t="s">
        <v>8219</v>
      </c>
      <c r="C819">
        <v>185</v>
      </c>
      <c r="E819" t="s">
        <v>8221</v>
      </c>
      <c r="F819">
        <v>3</v>
      </c>
    </row>
    <row r="820" spans="2:6" x14ac:dyDescent="0.2">
      <c r="B820" t="s">
        <v>8219</v>
      </c>
      <c r="C820">
        <v>185</v>
      </c>
      <c r="E820" t="s">
        <v>8221</v>
      </c>
      <c r="F820">
        <v>3</v>
      </c>
    </row>
    <row r="821" spans="2:6" x14ac:dyDescent="0.2">
      <c r="B821" t="s">
        <v>8219</v>
      </c>
      <c r="C821">
        <v>184</v>
      </c>
      <c r="E821" t="s">
        <v>8221</v>
      </c>
      <c r="F821">
        <v>3</v>
      </c>
    </row>
    <row r="822" spans="2:6" x14ac:dyDescent="0.2">
      <c r="B822" t="s">
        <v>8219</v>
      </c>
      <c r="C822">
        <v>184</v>
      </c>
      <c r="E822" t="s">
        <v>8221</v>
      </c>
      <c r="F822">
        <v>3</v>
      </c>
    </row>
    <row r="823" spans="2:6" x14ac:dyDescent="0.2">
      <c r="B823" t="s">
        <v>8219</v>
      </c>
      <c r="C823">
        <v>184</v>
      </c>
      <c r="E823" t="s">
        <v>8221</v>
      </c>
      <c r="F823">
        <v>3</v>
      </c>
    </row>
    <row r="824" spans="2:6" x14ac:dyDescent="0.2">
      <c r="B824" t="s">
        <v>8219</v>
      </c>
      <c r="C824">
        <v>184</v>
      </c>
      <c r="E824" t="s">
        <v>8221</v>
      </c>
      <c r="F824">
        <v>3</v>
      </c>
    </row>
    <row r="825" spans="2:6" x14ac:dyDescent="0.2">
      <c r="B825" t="s">
        <v>8219</v>
      </c>
      <c r="C825">
        <v>183</v>
      </c>
      <c r="E825" t="s">
        <v>8221</v>
      </c>
      <c r="F825">
        <v>3</v>
      </c>
    </row>
    <row r="826" spans="2:6" x14ac:dyDescent="0.2">
      <c r="B826" t="s">
        <v>8219</v>
      </c>
      <c r="C826">
        <v>183</v>
      </c>
      <c r="E826" t="s">
        <v>8221</v>
      </c>
      <c r="F826">
        <v>3</v>
      </c>
    </row>
    <row r="827" spans="2:6" x14ac:dyDescent="0.2">
      <c r="B827" t="s">
        <v>8219</v>
      </c>
      <c r="C827">
        <v>183</v>
      </c>
      <c r="E827" t="s">
        <v>8221</v>
      </c>
      <c r="F827">
        <v>3</v>
      </c>
    </row>
    <row r="828" spans="2:6" x14ac:dyDescent="0.2">
      <c r="B828" t="s">
        <v>8219</v>
      </c>
      <c r="C828">
        <v>183</v>
      </c>
      <c r="E828" t="s">
        <v>8221</v>
      </c>
      <c r="F828">
        <v>3</v>
      </c>
    </row>
    <row r="829" spans="2:6" x14ac:dyDescent="0.2">
      <c r="B829" t="s">
        <v>8219</v>
      </c>
      <c r="C829">
        <v>182</v>
      </c>
      <c r="E829" t="s">
        <v>8221</v>
      </c>
      <c r="F829">
        <v>3</v>
      </c>
    </row>
    <row r="830" spans="2:6" x14ac:dyDescent="0.2">
      <c r="B830" t="s">
        <v>8219</v>
      </c>
      <c r="C830">
        <v>182</v>
      </c>
      <c r="E830" t="s">
        <v>8221</v>
      </c>
      <c r="F830">
        <v>3</v>
      </c>
    </row>
    <row r="831" spans="2:6" x14ac:dyDescent="0.2">
      <c r="B831" t="s">
        <v>8219</v>
      </c>
      <c r="C831">
        <v>182</v>
      </c>
      <c r="E831" t="s">
        <v>8221</v>
      </c>
      <c r="F831">
        <v>3</v>
      </c>
    </row>
    <row r="832" spans="2:6" x14ac:dyDescent="0.2">
      <c r="B832" t="s">
        <v>8219</v>
      </c>
      <c r="C832">
        <v>181</v>
      </c>
      <c r="E832" t="s">
        <v>8221</v>
      </c>
      <c r="F832">
        <v>3</v>
      </c>
    </row>
    <row r="833" spans="2:6" x14ac:dyDescent="0.2">
      <c r="B833" t="s">
        <v>8219</v>
      </c>
      <c r="C833">
        <v>181</v>
      </c>
      <c r="E833" t="s">
        <v>8221</v>
      </c>
      <c r="F833">
        <v>3</v>
      </c>
    </row>
    <row r="834" spans="2:6" x14ac:dyDescent="0.2">
      <c r="B834" t="s">
        <v>8219</v>
      </c>
      <c r="C834">
        <v>181</v>
      </c>
      <c r="E834" t="s">
        <v>8221</v>
      </c>
      <c r="F834">
        <v>3</v>
      </c>
    </row>
    <row r="835" spans="2:6" x14ac:dyDescent="0.2">
      <c r="B835" t="s">
        <v>8219</v>
      </c>
      <c r="C835">
        <v>180</v>
      </c>
      <c r="E835" t="s">
        <v>8221</v>
      </c>
      <c r="F835">
        <v>3</v>
      </c>
    </row>
    <row r="836" spans="2:6" x14ac:dyDescent="0.2">
      <c r="B836" t="s">
        <v>8219</v>
      </c>
      <c r="C836">
        <v>180</v>
      </c>
      <c r="E836" t="s">
        <v>8221</v>
      </c>
      <c r="F836">
        <v>3</v>
      </c>
    </row>
    <row r="837" spans="2:6" x14ac:dyDescent="0.2">
      <c r="B837" t="s">
        <v>8219</v>
      </c>
      <c r="C837">
        <v>179</v>
      </c>
      <c r="E837" t="s">
        <v>8221</v>
      </c>
      <c r="F837">
        <v>3</v>
      </c>
    </row>
    <row r="838" spans="2:6" x14ac:dyDescent="0.2">
      <c r="B838" t="s">
        <v>8219</v>
      </c>
      <c r="C838">
        <v>179</v>
      </c>
      <c r="E838" t="s">
        <v>8221</v>
      </c>
      <c r="F838">
        <v>3</v>
      </c>
    </row>
    <row r="839" spans="2:6" x14ac:dyDescent="0.2">
      <c r="B839" t="s">
        <v>8219</v>
      </c>
      <c r="C839">
        <v>179</v>
      </c>
      <c r="E839" t="s">
        <v>8221</v>
      </c>
      <c r="F839">
        <v>3</v>
      </c>
    </row>
    <row r="840" spans="2:6" x14ac:dyDescent="0.2">
      <c r="B840" t="s">
        <v>8219</v>
      </c>
      <c r="C840">
        <v>179</v>
      </c>
      <c r="E840" t="s">
        <v>8221</v>
      </c>
      <c r="F840">
        <v>3</v>
      </c>
    </row>
    <row r="841" spans="2:6" x14ac:dyDescent="0.2">
      <c r="B841" t="s">
        <v>8219</v>
      </c>
      <c r="C841">
        <v>178</v>
      </c>
      <c r="E841" t="s">
        <v>8221</v>
      </c>
      <c r="F841">
        <v>3</v>
      </c>
    </row>
    <row r="842" spans="2:6" x14ac:dyDescent="0.2">
      <c r="B842" t="s">
        <v>8219</v>
      </c>
      <c r="C842">
        <v>177</v>
      </c>
      <c r="E842" t="s">
        <v>8221</v>
      </c>
      <c r="F842">
        <v>3</v>
      </c>
    </row>
    <row r="843" spans="2:6" x14ac:dyDescent="0.2">
      <c r="B843" t="s">
        <v>8219</v>
      </c>
      <c r="C843">
        <v>176</v>
      </c>
      <c r="E843" t="s">
        <v>8221</v>
      </c>
      <c r="F843">
        <v>3</v>
      </c>
    </row>
    <row r="844" spans="2:6" x14ac:dyDescent="0.2">
      <c r="B844" t="s">
        <v>8219</v>
      </c>
      <c r="C844">
        <v>176</v>
      </c>
      <c r="E844" t="s">
        <v>8221</v>
      </c>
      <c r="F844">
        <v>3</v>
      </c>
    </row>
    <row r="845" spans="2:6" x14ac:dyDescent="0.2">
      <c r="B845" t="s">
        <v>8219</v>
      </c>
      <c r="C845">
        <v>176</v>
      </c>
      <c r="E845" t="s">
        <v>8221</v>
      </c>
      <c r="F845">
        <v>3</v>
      </c>
    </row>
    <row r="846" spans="2:6" x14ac:dyDescent="0.2">
      <c r="B846" t="s">
        <v>8219</v>
      </c>
      <c r="C846">
        <v>176</v>
      </c>
      <c r="E846" t="s">
        <v>8221</v>
      </c>
      <c r="F846">
        <v>3</v>
      </c>
    </row>
    <row r="847" spans="2:6" x14ac:dyDescent="0.2">
      <c r="B847" t="s">
        <v>8219</v>
      </c>
      <c r="C847">
        <v>175</v>
      </c>
      <c r="E847" t="s">
        <v>8221</v>
      </c>
      <c r="F847">
        <v>3</v>
      </c>
    </row>
    <row r="848" spans="2:6" x14ac:dyDescent="0.2">
      <c r="B848" t="s">
        <v>8219</v>
      </c>
      <c r="C848">
        <v>175</v>
      </c>
      <c r="E848" t="s">
        <v>8221</v>
      </c>
      <c r="F848">
        <v>3</v>
      </c>
    </row>
    <row r="849" spans="2:6" x14ac:dyDescent="0.2">
      <c r="B849" t="s">
        <v>8219</v>
      </c>
      <c r="C849">
        <v>174</v>
      </c>
      <c r="E849" t="s">
        <v>8221</v>
      </c>
      <c r="F849">
        <v>3</v>
      </c>
    </row>
    <row r="850" spans="2:6" x14ac:dyDescent="0.2">
      <c r="B850" t="s">
        <v>8219</v>
      </c>
      <c r="C850">
        <v>174</v>
      </c>
      <c r="E850" t="s">
        <v>8221</v>
      </c>
      <c r="F850">
        <v>3</v>
      </c>
    </row>
    <row r="851" spans="2:6" x14ac:dyDescent="0.2">
      <c r="B851" t="s">
        <v>8219</v>
      </c>
      <c r="C851">
        <v>174</v>
      </c>
      <c r="E851" t="s">
        <v>8221</v>
      </c>
      <c r="F851">
        <v>3</v>
      </c>
    </row>
    <row r="852" spans="2:6" x14ac:dyDescent="0.2">
      <c r="B852" t="s">
        <v>8219</v>
      </c>
      <c r="C852">
        <v>173</v>
      </c>
      <c r="E852" t="s">
        <v>8221</v>
      </c>
      <c r="F852">
        <v>3</v>
      </c>
    </row>
    <row r="853" spans="2:6" x14ac:dyDescent="0.2">
      <c r="B853" t="s">
        <v>8219</v>
      </c>
      <c r="C853">
        <v>173</v>
      </c>
      <c r="E853" t="s">
        <v>8221</v>
      </c>
      <c r="F853">
        <v>3</v>
      </c>
    </row>
    <row r="854" spans="2:6" x14ac:dyDescent="0.2">
      <c r="B854" t="s">
        <v>8219</v>
      </c>
      <c r="C854">
        <v>172</v>
      </c>
      <c r="E854" t="s">
        <v>8221</v>
      </c>
      <c r="F854">
        <v>3</v>
      </c>
    </row>
    <row r="855" spans="2:6" x14ac:dyDescent="0.2">
      <c r="B855" t="s">
        <v>8219</v>
      </c>
      <c r="C855">
        <v>171</v>
      </c>
      <c r="E855" t="s">
        <v>8221</v>
      </c>
      <c r="F855">
        <v>3</v>
      </c>
    </row>
    <row r="856" spans="2:6" x14ac:dyDescent="0.2">
      <c r="B856" t="s">
        <v>8219</v>
      </c>
      <c r="C856">
        <v>170</v>
      </c>
      <c r="E856" t="s">
        <v>8221</v>
      </c>
      <c r="F856">
        <v>3</v>
      </c>
    </row>
    <row r="857" spans="2:6" x14ac:dyDescent="0.2">
      <c r="B857" t="s">
        <v>8219</v>
      </c>
      <c r="C857">
        <v>170</v>
      </c>
      <c r="E857" t="s">
        <v>8221</v>
      </c>
      <c r="F857">
        <v>3</v>
      </c>
    </row>
    <row r="858" spans="2:6" x14ac:dyDescent="0.2">
      <c r="B858" t="s">
        <v>8219</v>
      </c>
      <c r="C858">
        <v>170</v>
      </c>
      <c r="E858" t="s">
        <v>8221</v>
      </c>
      <c r="F858">
        <v>3</v>
      </c>
    </row>
    <row r="859" spans="2:6" x14ac:dyDescent="0.2">
      <c r="B859" t="s">
        <v>8219</v>
      </c>
      <c r="C859">
        <v>169</v>
      </c>
      <c r="E859" t="s">
        <v>8221</v>
      </c>
      <c r="F859">
        <v>3</v>
      </c>
    </row>
    <row r="860" spans="2:6" x14ac:dyDescent="0.2">
      <c r="B860" t="s">
        <v>8219</v>
      </c>
      <c r="C860">
        <v>169</v>
      </c>
      <c r="E860" t="s">
        <v>8221</v>
      </c>
      <c r="F860">
        <v>3</v>
      </c>
    </row>
    <row r="861" spans="2:6" x14ac:dyDescent="0.2">
      <c r="B861" t="s">
        <v>8219</v>
      </c>
      <c r="C861">
        <v>169</v>
      </c>
      <c r="E861" t="s">
        <v>8221</v>
      </c>
      <c r="F861">
        <v>3</v>
      </c>
    </row>
    <row r="862" spans="2:6" hidden="1" x14ac:dyDescent="0.2">
      <c r="B862" t="s">
        <v>8221</v>
      </c>
      <c r="C862">
        <v>48</v>
      </c>
      <c r="E862" t="s">
        <v>8221</v>
      </c>
      <c r="F862">
        <v>3</v>
      </c>
    </row>
    <row r="863" spans="2:6" hidden="1" x14ac:dyDescent="0.2">
      <c r="B863" t="s">
        <v>8221</v>
      </c>
      <c r="C863">
        <v>2</v>
      </c>
      <c r="E863" t="s">
        <v>8221</v>
      </c>
      <c r="F863">
        <v>3</v>
      </c>
    </row>
    <row r="864" spans="2:6" hidden="1" x14ac:dyDescent="0.2">
      <c r="B864" t="s">
        <v>8221</v>
      </c>
      <c r="C864">
        <v>4</v>
      </c>
      <c r="E864" t="s">
        <v>8221</v>
      </c>
      <c r="F864">
        <v>3</v>
      </c>
    </row>
    <row r="865" spans="2:6" hidden="1" x14ac:dyDescent="0.2">
      <c r="B865" t="s">
        <v>8221</v>
      </c>
      <c r="C865">
        <v>5</v>
      </c>
      <c r="E865" t="s">
        <v>8221</v>
      </c>
      <c r="F865">
        <v>3</v>
      </c>
    </row>
    <row r="866" spans="2:6" hidden="1" x14ac:dyDescent="0.2">
      <c r="B866" t="s">
        <v>8221</v>
      </c>
      <c r="C866">
        <v>79</v>
      </c>
      <c r="E866" t="s">
        <v>8221</v>
      </c>
      <c r="F866">
        <v>3</v>
      </c>
    </row>
    <row r="867" spans="2:6" hidden="1" x14ac:dyDescent="0.2">
      <c r="B867" t="s">
        <v>8221</v>
      </c>
      <c r="C867">
        <v>2</v>
      </c>
      <c r="E867" t="s">
        <v>8221</v>
      </c>
      <c r="F867">
        <v>3</v>
      </c>
    </row>
    <row r="868" spans="2:6" hidden="1" x14ac:dyDescent="0.2">
      <c r="B868" t="s">
        <v>8221</v>
      </c>
      <c r="C868">
        <v>11</v>
      </c>
      <c r="E868" t="s">
        <v>8221</v>
      </c>
      <c r="F868">
        <v>3</v>
      </c>
    </row>
    <row r="869" spans="2:6" hidden="1" x14ac:dyDescent="0.2">
      <c r="B869" t="s">
        <v>8221</v>
      </c>
      <c r="C869">
        <v>11</v>
      </c>
      <c r="E869" t="s">
        <v>8221</v>
      </c>
      <c r="F869">
        <v>3</v>
      </c>
    </row>
    <row r="870" spans="2:6" hidden="1" x14ac:dyDescent="0.2">
      <c r="B870" t="s">
        <v>8221</v>
      </c>
      <c r="C870">
        <v>1</v>
      </c>
      <c r="E870" t="s">
        <v>8221</v>
      </c>
      <c r="F870">
        <v>3</v>
      </c>
    </row>
    <row r="871" spans="2:6" hidden="1" x14ac:dyDescent="0.2">
      <c r="B871" t="s">
        <v>8221</v>
      </c>
      <c r="C871">
        <v>3</v>
      </c>
      <c r="E871" t="s">
        <v>8221</v>
      </c>
      <c r="F871">
        <v>3</v>
      </c>
    </row>
    <row r="872" spans="2:6" hidden="1" x14ac:dyDescent="0.2">
      <c r="B872" t="s">
        <v>8221</v>
      </c>
      <c r="C872">
        <v>5</v>
      </c>
      <c r="E872" t="s">
        <v>8221</v>
      </c>
      <c r="F872">
        <v>3</v>
      </c>
    </row>
    <row r="873" spans="2:6" hidden="1" x14ac:dyDescent="0.2">
      <c r="B873" t="s">
        <v>8221</v>
      </c>
      <c r="C873">
        <v>12</v>
      </c>
      <c r="E873" t="s">
        <v>8221</v>
      </c>
      <c r="F873">
        <v>3</v>
      </c>
    </row>
    <row r="874" spans="2:6" hidden="1" x14ac:dyDescent="0.2">
      <c r="B874" t="s">
        <v>8221</v>
      </c>
      <c r="C874">
        <v>2</v>
      </c>
      <c r="E874" t="s">
        <v>8221</v>
      </c>
      <c r="F874">
        <v>3</v>
      </c>
    </row>
    <row r="875" spans="2:6" hidden="1" x14ac:dyDescent="0.2">
      <c r="B875" t="s">
        <v>8221</v>
      </c>
      <c r="C875">
        <v>5</v>
      </c>
      <c r="E875" t="s">
        <v>8221</v>
      </c>
      <c r="F875">
        <v>3</v>
      </c>
    </row>
    <row r="876" spans="2:6" hidden="1" x14ac:dyDescent="0.2">
      <c r="B876" t="s">
        <v>8221</v>
      </c>
      <c r="C876">
        <v>21</v>
      </c>
      <c r="E876" t="s">
        <v>8221</v>
      </c>
      <c r="F876">
        <v>3</v>
      </c>
    </row>
    <row r="877" spans="2:6" hidden="1" x14ac:dyDescent="0.2">
      <c r="B877" t="s">
        <v>8221</v>
      </c>
      <c r="C877">
        <v>0</v>
      </c>
      <c r="E877" t="s">
        <v>8221</v>
      </c>
      <c r="F877">
        <v>3</v>
      </c>
    </row>
    <row r="878" spans="2:6" hidden="1" x14ac:dyDescent="0.2">
      <c r="B878" t="s">
        <v>8221</v>
      </c>
      <c r="C878">
        <v>45</v>
      </c>
      <c r="E878" t="s">
        <v>8221</v>
      </c>
      <c r="F878">
        <v>3</v>
      </c>
    </row>
    <row r="879" spans="2:6" hidden="1" x14ac:dyDescent="0.2">
      <c r="B879" t="s">
        <v>8221</v>
      </c>
      <c r="C879">
        <v>29</v>
      </c>
      <c r="E879" t="s">
        <v>8221</v>
      </c>
      <c r="F879">
        <v>3</v>
      </c>
    </row>
    <row r="880" spans="2:6" hidden="1" x14ac:dyDescent="0.2">
      <c r="B880" t="s">
        <v>8221</v>
      </c>
      <c r="C880">
        <v>2</v>
      </c>
      <c r="E880" t="s">
        <v>8221</v>
      </c>
      <c r="F880">
        <v>3</v>
      </c>
    </row>
    <row r="881" spans="2:6" hidden="1" x14ac:dyDescent="0.2">
      <c r="B881" t="s">
        <v>8221</v>
      </c>
      <c r="C881">
        <v>30</v>
      </c>
      <c r="E881" t="s">
        <v>8221</v>
      </c>
      <c r="F881">
        <v>3</v>
      </c>
    </row>
    <row r="882" spans="2:6" hidden="1" x14ac:dyDescent="0.2">
      <c r="B882" t="s">
        <v>8221</v>
      </c>
      <c r="C882">
        <v>8</v>
      </c>
      <c r="E882" t="s">
        <v>8221</v>
      </c>
      <c r="F882">
        <v>3</v>
      </c>
    </row>
    <row r="883" spans="2:6" hidden="1" x14ac:dyDescent="0.2">
      <c r="B883" t="s">
        <v>8221</v>
      </c>
      <c r="C883">
        <v>1</v>
      </c>
      <c r="E883" t="s">
        <v>8221</v>
      </c>
      <c r="F883">
        <v>3</v>
      </c>
    </row>
    <row r="884" spans="2:6" hidden="1" x14ac:dyDescent="0.2">
      <c r="B884" t="s">
        <v>8221</v>
      </c>
      <c r="C884">
        <v>14</v>
      </c>
      <c r="E884" t="s">
        <v>8221</v>
      </c>
      <c r="F884">
        <v>3</v>
      </c>
    </row>
    <row r="885" spans="2:6" hidden="1" x14ac:dyDescent="0.2">
      <c r="B885" t="s">
        <v>8221</v>
      </c>
      <c r="C885">
        <v>24</v>
      </c>
      <c r="E885" t="s">
        <v>8221</v>
      </c>
      <c r="F885">
        <v>3</v>
      </c>
    </row>
    <row r="886" spans="2:6" hidden="1" x14ac:dyDescent="0.2">
      <c r="B886" t="s">
        <v>8221</v>
      </c>
      <c r="C886">
        <v>2</v>
      </c>
      <c r="E886" t="s">
        <v>8221</v>
      </c>
      <c r="F886">
        <v>3</v>
      </c>
    </row>
    <row r="887" spans="2:6" hidden="1" x14ac:dyDescent="0.2">
      <c r="B887" t="s">
        <v>8221</v>
      </c>
      <c r="C887">
        <v>21</v>
      </c>
      <c r="E887" t="s">
        <v>8221</v>
      </c>
      <c r="F887">
        <v>3</v>
      </c>
    </row>
    <row r="888" spans="2:6" hidden="1" x14ac:dyDescent="0.2">
      <c r="B888" t="s">
        <v>8221</v>
      </c>
      <c r="C888">
        <v>7</v>
      </c>
      <c r="E888" t="s">
        <v>8221</v>
      </c>
      <c r="F888">
        <v>2</v>
      </c>
    </row>
    <row r="889" spans="2:6" hidden="1" x14ac:dyDescent="0.2">
      <c r="B889" t="s">
        <v>8221</v>
      </c>
      <c r="C889">
        <v>0</v>
      </c>
      <c r="E889" t="s">
        <v>8221</v>
      </c>
      <c r="F889">
        <v>2</v>
      </c>
    </row>
    <row r="890" spans="2:6" hidden="1" x14ac:dyDescent="0.2">
      <c r="B890" t="s">
        <v>8221</v>
      </c>
      <c r="C890">
        <v>4</v>
      </c>
      <c r="E890" t="s">
        <v>8221</v>
      </c>
      <c r="F890">
        <v>2</v>
      </c>
    </row>
    <row r="891" spans="2:6" hidden="1" x14ac:dyDescent="0.2">
      <c r="B891" t="s">
        <v>8221</v>
      </c>
      <c r="C891">
        <v>32</v>
      </c>
      <c r="E891" t="s">
        <v>8221</v>
      </c>
      <c r="F891">
        <v>2</v>
      </c>
    </row>
    <row r="892" spans="2:6" hidden="1" x14ac:dyDescent="0.2">
      <c r="B892" t="s">
        <v>8221</v>
      </c>
      <c r="C892">
        <v>4</v>
      </c>
      <c r="E892" t="s">
        <v>8221</v>
      </c>
      <c r="F892">
        <v>2</v>
      </c>
    </row>
    <row r="893" spans="2:6" hidden="1" x14ac:dyDescent="0.2">
      <c r="B893" t="s">
        <v>8221</v>
      </c>
      <c r="C893">
        <v>9</v>
      </c>
      <c r="E893" t="s">
        <v>8221</v>
      </c>
      <c r="F893">
        <v>2</v>
      </c>
    </row>
    <row r="894" spans="2:6" hidden="1" x14ac:dyDescent="0.2">
      <c r="B894" t="s">
        <v>8221</v>
      </c>
      <c r="C894">
        <v>17</v>
      </c>
      <c r="E894" t="s">
        <v>8221</v>
      </c>
      <c r="F894">
        <v>2</v>
      </c>
    </row>
    <row r="895" spans="2:6" hidden="1" x14ac:dyDescent="0.2">
      <c r="B895" t="s">
        <v>8221</v>
      </c>
      <c r="C895">
        <v>5</v>
      </c>
      <c r="E895" t="s">
        <v>8221</v>
      </c>
      <c r="F895">
        <v>2</v>
      </c>
    </row>
    <row r="896" spans="2:6" hidden="1" x14ac:dyDescent="0.2">
      <c r="B896" t="s">
        <v>8221</v>
      </c>
      <c r="C896">
        <v>53</v>
      </c>
      <c r="E896" t="s">
        <v>8221</v>
      </c>
      <c r="F896">
        <v>2</v>
      </c>
    </row>
    <row r="897" spans="2:6" hidden="1" x14ac:dyDescent="0.2">
      <c r="B897" t="s">
        <v>8221</v>
      </c>
      <c r="C897">
        <v>7</v>
      </c>
      <c r="E897" t="s">
        <v>8221</v>
      </c>
      <c r="F897">
        <v>2</v>
      </c>
    </row>
    <row r="898" spans="2:6" hidden="1" x14ac:dyDescent="0.2">
      <c r="B898" t="s">
        <v>8221</v>
      </c>
      <c r="C898">
        <v>72</v>
      </c>
      <c r="E898" t="s">
        <v>8221</v>
      </c>
      <c r="F898">
        <v>2</v>
      </c>
    </row>
    <row r="899" spans="2:6" hidden="1" x14ac:dyDescent="0.2">
      <c r="B899" t="s">
        <v>8221</v>
      </c>
      <c r="C899">
        <v>0</v>
      </c>
      <c r="E899" t="s">
        <v>8221</v>
      </c>
      <c r="F899">
        <v>2</v>
      </c>
    </row>
    <row r="900" spans="2:6" hidden="1" x14ac:dyDescent="0.2">
      <c r="B900" t="s">
        <v>8221</v>
      </c>
      <c r="C900">
        <v>2</v>
      </c>
      <c r="E900" t="s">
        <v>8221</v>
      </c>
      <c r="F900">
        <v>2</v>
      </c>
    </row>
    <row r="901" spans="2:6" hidden="1" x14ac:dyDescent="0.2">
      <c r="B901" t="s">
        <v>8221</v>
      </c>
      <c r="C901">
        <v>8</v>
      </c>
      <c r="E901" t="s">
        <v>8221</v>
      </c>
      <c r="F901">
        <v>2</v>
      </c>
    </row>
    <row r="902" spans="2:6" hidden="1" x14ac:dyDescent="0.2">
      <c r="B902" t="s">
        <v>8221</v>
      </c>
      <c r="C902">
        <v>2</v>
      </c>
      <c r="E902" t="s">
        <v>8221</v>
      </c>
      <c r="F902">
        <v>2</v>
      </c>
    </row>
    <row r="903" spans="2:6" hidden="1" x14ac:dyDescent="0.2">
      <c r="B903" t="s">
        <v>8221</v>
      </c>
      <c r="C903">
        <v>0</v>
      </c>
      <c r="E903" t="s">
        <v>8221</v>
      </c>
      <c r="F903">
        <v>2</v>
      </c>
    </row>
    <row r="904" spans="2:6" hidden="1" x14ac:dyDescent="0.2">
      <c r="B904" t="s">
        <v>8221</v>
      </c>
      <c r="C904">
        <v>3</v>
      </c>
      <c r="E904" t="s">
        <v>8221</v>
      </c>
      <c r="F904">
        <v>2</v>
      </c>
    </row>
    <row r="905" spans="2:6" hidden="1" x14ac:dyDescent="0.2">
      <c r="B905" t="s">
        <v>8221</v>
      </c>
      <c r="C905">
        <v>4</v>
      </c>
      <c r="E905" t="s">
        <v>8221</v>
      </c>
      <c r="F905">
        <v>2</v>
      </c>
    </row>
    <row r="906" spans="2:6" hidden="1" x14ac:dyDescent="0.2">
      <c r="B906" t="s">
        <v>8221</v>
      </c>
      <c r="C906">
        <v>3</v>
      </c>
      <c r="E906" t="s">
        <v>8221</v>
      </c>
      <c r="F906">
        <v>2</v>
      </c>
    </row>
    <row r="907" spans="2:6" hidden="1" x14ac:dyDescent="0.2">
      <c r="B907" t="s">
        <v>8221</v>
      </c>
      <c r="C907">
        <v>6</v>
      </c>
      <c r="E907" t="s">
        <v>8221</v>
      </c>
      <c r="F907">
        <v>2</v>
      </c>
    </row>
    <row r="908" spans="2:6" hidden="1" x14ac:dyDescent="0.2">
      <c r="B908" t="s">
        <v>8221</v>
      </c>
      <c r="C908">
        <v>0</v>
      </c>
      <c r="E908" t="s">
        <v>8221</v>
      </c>
      <c r="F908">
        <v>2</v>
      </c>
    </row>
    <row r="909" spans="2:6" hidden="1" x14ac:dyDescent="0.2">
      <c r="B909" t="s">
        <v>8221</v>
      </c>
      <c r="C909">
        <v>0</v>
      </c>
      <c r="E909" t="s">
        <v>8221</v>
      </c>
      <c r="F909">
        <v>2</v>
      </c>
    </row>
    <row r="910" spans="2:6" hidden="1" x14ac:dyDescent="0.2">
      <c r="B910" t="s">
        <v>8221</v>
      </c>
      <c r="C910">
        <v>0</v>
      </c>
      <c r="E910" t="s">
        <v>8221</v>
      </c>
      <c r="F910">
        <v>2</v>
      </c>
    </row>
    <row r="911" spans="2:6" hidden="1" x14ac:dyDescent="0.2">
      <c r="B911" t="s">
        <v>8221</v>
      </c>
      <c r="C911">
        <v>8</v>
      </c>
      <c r="E911" t="s">
        <v>8221</v>
      </c>
      <c r="F911">
        <v>2</v>
      </c>
    </row>
    <row r="912" spans="2:6" hidden="1" x14ac:dyDescent="0.2">
      <c r="B912" t="s">
        <v>8221</v>
      </c>
      <c r="C912">
        <v>5</v>
      </c>
      <c r="E912" t="s">
        <v>8221</v>
      </c>
      <c r="F912">
        <v>2</v>
      </c>
    </row>
    <row r="913" spans="2:6" hidden="1" x14ac:dyDescent="0.2">
      <c r="B913" t="s">
        <v>8221</v>
      </c>
      <c r="C913">
        <v>0</v>
      </c>
      <c r="E913" t="s">
        <v>8221</v>
      </c>
      <c r="F913">
        <v>2</v>
      </c>
    </row>
    <row r="914" spans="2:6" hidden="1" x14ac:dyDescent="0.2">
      <c r="B914" t="s">
        <v>8221</v>
      </c>
      <c r="C914">
        <v>2</v>
      </c>
      <c r="E914" t="s">
        <v>8221</v>
      </c>
      <c r="F914">
        <v>2</v>
      </c>
    </row>
    <row r="915" spans="2:6" hidden="1" x14ac:dyDescent="0.2">
      <c r="B915" t="s">
        <v>8221</v>
      </c>
      <c r="C915">
        <v>24</v>
      </c>
      <c r="E915" t="s">
        <v>8221</v>
      </c>
      <c r="F915">
        <v>2</v>
      </c>
    </row>
    <row r="916" spans="2:6" hidden="1" x14ac:dyDescent="0.2">
      <c r="B916" t="s">
        <v>8221</v>
      </c>
      <c r="C916">
        <v>0</v>
      </c>
      <c r="E916" t="s">
        <v>8221</v>
      </c>
      <c r="F916">
        <v>2</v>
      </c>
    </row>
    <row r="917" spans="2:6" hidden="1" x14ac:dyDescent="0.2">
      <c r="B917" t="s">
        <v>8221</v>
      </c>
      <c r="C917">
        <v>9</v>
      </c>
      <c r="E917" t="s">
        <v>8221</v>
      </c>
      <c r="F917">
        <v>2</v>
      </c>
    </row>
    <row r="918" spans="2:6" hidden="1" x14ac:dyDescent="0.2">
      <c r="B918" t="s">
        <v>8221</v>
      </c>
      <c r="C918">
        <v>0</v>
      </c>
      <c r="E918" t="s">
        <v>8221</v>
      </c>
      <c r="F918">
        <v>2</v>
      </c>
    </row>
    <row r="919" spans="2:6" hidden="1" x14ac:dyDescent="0.2">
      <c r="B919" t="s">
        <v>8221</v>
      </c>
      <c r="C919">
        <v>1</v>
      </c>
      <c r="E919" t="s">
        <v>8221</v>
      </c>
      <c r="F919">
        <v>2</v>
      </c>
    </row>
    <row r="920" spans="2:6" hidden="1" x14ac:dyDescent="0.2">
      <c r="B920" t="s">
        <v>8221</v>
      </c>
      <c r="C920">
        <v>10</v>
      </c>
      <c r="E920" t="s">
        <v>8221</v>
      </c>
      <c r="F920">
        <v>2</v>
      </c>
    </row>
    <row r="921" spans="2:6" hidden="1" x14ac:dyDescent="0.2">
      <c r="B921" t="s">
        <v>8221</v>
      </c>
      <c r="C921">
        <v>1</v>
      </c>
      <c r="E921" t="s">
        <v>8221</v>
      </c>
      <c r="F921">
        <v>2</v>
      </c>
    </row>
    <row r="922" spans="2:6" hidden="1" x14ac:dyDescent="0.2">
      <c r="B922" t="s">
        <v>8221</v>
      </c>
      <c r="C922">
        <v>0</v>
      </c>
      <c r="E922" t="s">
        <v>8221</v>
      </c>
      <c r="F922">
        <v>2</v>
      </c>
    </row>
    <row r="923" spans="2:6" hidden="1" x14ac:dyDescent="0.2">
      <c r="B923" t="s">
        <v>8221</v>
      </c>
      <c r="C923">
        <v>20</v>
      </c>
      <c r="E923" t="s">
        <v>8221</v>
      </c>
      <c r="F923">
        <v>2</v>
      </c>
    </row>
    <row r="924" spans="2:6" hidden="1" x14ac:dyDescent="0.2">
      <c r="B924" t="s">
        <v>8221</v>
      </c>
      <c r="C924">
        <v>30</v>
      </c>
      <c r="E924" t="s">
        <v>8221</v>
      </c>
      <c r="F924">
        <v>2</v>
      </c>
    </row>
    <row r="925" spans="2:6" hidden="1" x14ac:dyDescent="0.2">
      <c r="B925" t="s">
        <v>8221</v>
      </c>
      <c r="C925">
        <v>6</v>
      </c>
      <c r="E925" t="s">
        <v>8221</v>
      </c>
      <c r="F925">
        <v>2</v>
      </c>
    </row>
    <row r="926" spans="2:6" hidden="1" x14ac:dyDescent="0.2">
      <c r="B926" t="s">
        <v>8221</v>
      </c>
      <c r="C926">
        <v>15</v>
      </c>
      <c r="E926" t="s">
        <v>8221</v>
      </c>
      <c r="F926">
        <v>2</v>
      </c>
    </row>
    <row r="927" spans="2:6" hidden="1" x14ac:dyDescent="0.2">
      <c r="B927" t="s">
        <v>8221</v>
      </c>
      <c r="C927">
        <v>5</v>
      </c>
      <c r="E927" t="s">
        <v>8221</v>
      </c>
      <c r="F927">
        <v>2</v>
      </c>
    </row>
    <row r="928" spans="2:6" hidden="1" x14ac:dyDescent="0.2">
      <c r="B928" t="s">
        <v>8221</v>
      </c>
      <c r="C928">
        <v>0</v>
      </c>
      <c r="E928" t="s">
        <v>8221</v>
      </c>
      <c r="F928">
        <v>2</v>
      </c>
    </row>
    <row r="929" spans="2:6" hidden="1" x14ac:dyDescent="0.2">
      <c r="B929" t="s">
        <v>8221</v>
      </c>
      <c r="C929">
        <v>0</v>
      </c>
      <c r="E929" t="s">
        <v>8221</v>
      </c>
      <c r="F929">
        <v>2</v>
      </c>
    </row>
    <row r="930" spans="2:6" hidden="1" x14ac:dyDescent="0.2">
      <c r="B930" t="s">
        <v>8221</v>
      </c>
      <c r="C930">
        <v>28</v>
      </c>
      <c r="E930" t="s">
        <v>8221</v>
      </c>
      <c r="F930">
        <v>2</v>
      </c>
    </row>
    <row r="931" spans="2:6" hidden="1" x14ac:dyDescent="0.2">
      <c r="B931" t="s">
        <v>8221</v>
      </c>
      <c r="C931">
        <v>0</v>
      </c>
      <c r="E931" t="s">
        <v>8221</v>
      </c>
      <c r="F931">
        <v>2</v>
      </c>
    </row>
    <row r="932" spans="2:6" hidden="1" x14ac:dyDescent="0.2">
      <c r="B932" t="s">
        <v>8221</v>
      </c>
      <c r="C932">
        <v>5</v>
      </c>
      <c r="E932" t="s">
        <v>8221</v>
      </c>
      <c r="F932">
        <v>2</v>
      </c>
    </row>
    <row r="933" spans="2:6" hidden="1" x14ac:dyDescent="0.2">
      <c r="B933" t="s">
        <v>8221</v>
      </c>
      <c r="C933">
        <v>7</v>
      </c>
      <c r="E933" t="s">
        <v>8221</v>
      </c>
      <c r="F933">
        <v>2</v>
      </c>
    </row>
    <row r="934" spans="2:6" hidden="1" x14ac:dyDescent="0.2">
      <c r="B934" t="s">
        <v>8221</v>
      </c>
      <c r="C934">
        <v>30</v>
      </c>
      <c r="E934" t="s">
        <v>8221</v>
      </c>
      <c r="F934">
        <v>2</v>
      </c>
    </row>
    <row r="935" spans="2:6" hidden="1" x14ac:dyDescent="0.2">
      <c r="B935" t="s">
        <v>8221</v>
      </c>
      <c r="C935">
        <v>2</v>
      </c>
      <c r="E935" t="s">
        <v>8221</v>
      </c>
      <c r="F935">
        <v>2</v>
      </c>
    </row>
    <row r="936" spans="2:6" hidden="1" x14ac:dyDescent="0.2">
      <c r="B936" t="s">
        <v>8221</v>
      </c>
      <c r="C936">
        <v>30</v>
      </c>
      <c r="E936" t="s">
        <v>8221</v>
      </c>
      <c r="F936">
        <v>2</v>
      </c>
    </row>
    <row r="937" spans="2:6" hidden="1" x14ac:dyDescent="0.2">
      <c r="B937" t="s">
        <v>8221</v>
      </c>
      <c r="C937">
        <v>2</v>
      </c>
      <c r="E937" t="s">
        <v>8221</v>
      </c>
      <c r="F937">
        <v>2</v>
      </c>
    </row>
    <row r="938" spans="2:6" hidden="1" x14ac:dyDescent="0.2">
      <c r="B938" t="s">
        <v>8221</v>
      </c>
      <c r="C938">
        <v>0</v>
      </c>
      <c r="E938" t="s">
        <v>8221</v>
      </c>
      <c r="F938">
        <v>2</v>
      </c>
    </row>
    <row r="939" spans="2:6" hidden="1" x14ac:dyDescent="0.2">
      <c r="B939" t="s">
        <v>8221</v>
      </c>
      <c r="C939">
        <v>2</v>
      </c>
      <c r="E939" t="s">
        <v>8221</v>
      </c>
      <c r="F939">
        <v>2</v>
      </c>
    </row>
    <row r="940" spans="2:6" hidden="1" x14ac:dyDescent="0.2">
      <c r="B940" t="s">
        <v>8221</v>
      </c>
      <c r="C940">
        <v>1</v>
      </c>
      <c r="E940" t="s">
        <v>8221</v>
      </c>
      <c r="F940">
        <v>2</v>
      </c>
    </row>
    <row r="941" spans="2:6" hidden="1" x14ac:dyDescent="0.2">
      <c r="B941" t="s">
        <v>8221</v>
      </c>
      <c r="C941">
        <v>2</v>
      </c>
      <c r="E941" t="s">
        <v>8221</v>
      </c>
      <c r="F941">
        <v>2</v>
      </c>
    </row>
    <row r="942" spans="2:6" hidden="1" x14ac:dyDescent="0.2">
      <c r="B942" t="s">
        <v>8221</v>
      </c>
      <c r="C942">
        <v>14</v>
      </c>
      <c r="E942" t="s">
        <v>8221</v>
      </c>
      <c r="F942">
        <v>2</v>
      </c>
    </row>
    <row r="943" spans="2:6" hidden="1" x14ac:dyDescent="0.2">
      <c r="B943" t="s">
        <v>8221</v>
      </c>
      <c r="C943">
        <v>31</v>
      </c>
      <c r="E943" t="s">
        <v>8221</v>
      </c>
      <c r="F943">
        <v>2</v>
      </c>
    </row>
    <row r="944" spans="2:6" hidden="1" x14ac:dyDescent="0.2">
      <c r="B944" t="s">
        <v>8221</v>
      </c>
      <c r="C944">
        <v>16</v>
      </c>
      <c r="E944" t="s">
        <v>8221</v>
      </c>
      <c r="F944">
        <v>2</v>
      </c>
    </row>
    <row r="945" spans="2:6" hidden="1" x14ac:dyDescent="0.2">
      <c r="B945" t="s">
        <v>8221</v>
      </c>
      <c r="C945">
        <v>12</v>
      </c>
      <c r="E945" t="s">
        <v>8221</v>
      </c>
      <c r="F945">
        <v>2</v>
      </c>
    </row>
    <row r="946" spans="2:6" hidden="1" x14ac:dyDescent="0.2">
      <c r="B946" t="s">
        <v>8221</v>
      </c>
      <c r="C946">
        <v>96</v>
      </c>
      <c r="E946" t="s">
        <v>8221</v>
      </c>
      <c r="F946">
        <v>2</v>
      </c>
    </row>
    <row r="947" spans="2:6" hidden="1" x14ac:dyDescent="0.2">
      <c r="B947" t="s">
        <v>8221</v>
      </c>
      <c r="C947">
        <v>16</v>
      </c>
      <c r="E947" t="s">
        <v>8221</v>
      </c>
      <c r="F947">
        <v>2</v>
      </c>
    </row>
    <row r="948" spans="2:6" hidden="1" x14ac:dyDescent="0.2">
      <c r="B948" t="s">
        <v>8221</v>
      </c>
      <c r="C948">
        <v>5</v>
      </c>
      <c r="E948" t="s">
        <v>8221</v>
      </c>
      <c r="F948">
        <v>2</v>
      </c>
    </row>
    <row r="949" spans="2:6" hidden="1" x14ac:dyDescent="0.2">
      <c r="B949" t="s">
        <v>8221</v>
      </c>
      <c r="C949">
        <v>0</v>
      </c>
      <c r="E949" t="s">
        <v>8221</v>
      </c>
      <c r="F949">
        <v>2</v>
      </c>
    </row>
    <row r="950" spans="2:6" hidden="1" x14ac:dyDescent="0.2">
      <c r="B950" t="s">
        <v>8221</v>
      </c>
      <c r="C950">
        <v>8</v>
      </c>
      <c r="E950" t="s">
        <v>8221</v>
      </c>
      <c r="F950">
        <v>2</v>
      </c>
    </row>
    <row r="951" spans="2:6" hidden="1" x14ac:dyDescent="0.2">
      <c r="B951" t="s">
        <v>8221</v>
      </c>
      <c r="C951">
        <v>7</v>
      </c>
      <c r="E951" t="s">
        <v>8221</v>
      </c>
      <c r="F951">
        <v>2</v>
      </c>
    </row>
    <row r="952" spans="2:6" hidden="1" x14ac:dyDescent="0.2">
      <c r="B952" t="s">
        <v>8221</v>
      </c>
      <c r="C952">
        <v>24</v>
      </c>
      <c r="E952" t="s">
        <v>8221</v>
      </c>
      <c r="F952">
        <v>2</v>
      </c>
    </row>
    <row r="953" spans="2:6" hidden="1" x14ac:dyDescent="0.2">
      <c r="B953" t="s">
        <v>8221</v>
      </c>
      <c r="C953">
        <v>121</v>
      </c>
      <c r="E953" t="s">
        <v>8221</v>
      </c>
      <c r="F953">
        <v>2</v>
      </c>
    </row>
    <row r="954" spans="2:6" hidden="1" x14ac:dyDescent="0.2">
      <c r="B954" t="s">
        <v>8221</v>
      </c>
      <c r="C954">
        <v>196</v>
      </c>
      <c r="E954" t="s">
        <v>8221</v>
      </c>
      <c r="F954">
        <v>2</v>
      </c>
    </row>
    <row r="955" spans="2:6" hidden="1" x14ac:dyDescent="0.2">
      <c r="B955" t="s">
        <v>8221</v>
      </c>
      <c r="C955">
        <v>5</v>
      </c>
      <c r="E955" t="s">
        <v>8221</v>
      </c>
      <c r="F955">
        <v>2</v>
      </c>
    </row>
    <row r="956" spans="2:6" hidden="1" x14ac:dyDescent="0.2">
      <c r="B956" t="s">
        <v>8221</v>
      </c>
      <c r="C956">
        <v>73</v>
      </c>
      <c r="E956" t="s">
        <v>8221</v>
      </c>
      <c r="F956">
        <v>2</v>
      </c>
    </row>
    <row r="957" spans="2:6" hidden="1" x14ac:dyDescent="0.2">
      <c r="B957" t="s">
        <v>8221</v>
      </c>
      <c r="C957">
        <v>93</v>
      </c>
      <c r="E957" t="s">
        <v>8221</v>
      </c>
      <c r="F957">
        <v>2</v>
      </c>
    </row>
    <row r="958" spans="2:6" hidden="1" x14ac:dyDescent="0.2">
      <c r="B958" t="s">
        <v>8221</v>
      </c>
      <c r="C958">
        <v>17</v>
      </c>
      <c r="E958" t="s">
        <v>8221</v>
      </c>
      <c r="F958">
        <v>2</v>
      </c>
    </row>
    <row r="959" spans="2:6" hidden="1" x14ac:dyDescent="0.2">
      <c r="B959" t="s">
        <v>8221</v>
      </c>
      <c r="C959">
        <v>7</v>
      </c>
      <c r="E959" t="s">
        <v>8221</v>
      </c>
      <c r="F959">
        <v>2</v>
      </c>
    </row>
    <row r="960" spans="2:6" hidden="1" x14ac:dyDescent="0.2">
      <c r="B960" t="s">
        <v>8221</v>
      </c>
      <c r="C960">
        <v>17</v>
      </c>
      <c r="E960" t="s">
        <v>8221</v>
      </c>
      <c r="F960">
        <v>2</v>
      </c>
    </row>
    <row r="961" spans="2:6" hidden="1" x14ac:dyDescent="0.2">
      <c r="B961" t="s">
        <v>8221</v>
      </c>
      <c r="C961">
        <v>171</v>
      </c>
      <c r="E961" t="s">
        <v>8221</v>
      </c>
      <c r="F961">
        <v>2</v>
      </c>
    </row>
    <row r="962" spans="2:6" hidden="1" x14ac:dyDescent="0.2">
      <c r="B962" t="s">
        <v>8221</v>
      </c>
      <c r="C962">
        <v>188</v>
      </c>
      <c r="E962" t="s">
        <v>8221</v>
      </c>
      <c r="F962">
        <v>2</v>
      </c>
    </row>
    <row r="963" spans="2:6" hidden="1" x14ac:dyDescent="0.2">
      <c r="B963" t="s">
        <v>8221</v>
      </c>
      <c r="C963">
        <v>110</v>
      </c>
      <c r="E963" t="s">
        <v>8221</v>
      </c>
      <c r="F963">
        <v>2</v>
      </c>
    </row>
    <row r="964" spans="2:6" hidden="1" x14ac:dyDescent="0.2">
      <c r="B964" t="s">
        <v>8221</v>
      </c>
      <c r="C964">
        <v>37</v>
      </c>
      <c r="E964" t="s">
        <v>8221</v>
      </c>
      <c r="F964">
        <v>2</v>
      </c>
    </row>
    <row r="965" spans="2:6" hidden="1" x14ac:dyDescent="0.2">
      <c r="B965" t="s">
        <v>8221</v>
      </c>
      <c r="C965">
        <v>9</v>
      </c>
      <c r="E965" t="s">
        <v>8221</v>
      </c>
      <c r="F965">
        <v>2</v>
      </c>
    </row>
    <row r="966" spans="2:6" hidden="1" x14ac:dyDescent="0.2">
      <c r="B966" t="s">
        <v>8221</v>
      </c>
      <c r="C966">
        <v>29</v>
      </c>
      <c r="E966" t="s">
        <v>8221</v>
      </c>
      <c r="F966">
        <v>2</v>
      </c>
    </row>
    <row r="967" spans="2:6" hidden="1" x14ac:dyDescent="0.2">
      <c r="B967" t="s">
        <v>8221</v>
      </c>
      <c r="C967">
        <v>6</v>
      </c>
      <c r="E967" t="s">
        <v>8221</v>
      </c>
      <c r="F967">
        <v>2</v>
      </c>
    </row>
    <row r="968" spans="2:6" hidden="1" x14ac:dyDescent="0.2">
      <c r="B968" t="s">
        <v>8221</v>
      </c>
      <c r="C968">
        <v>30</v>
      </c>
      <c r="E968" t="s">
        <v>8221</v>
      </c>
      <c r="F968">
        <v>2</v>
      </c>
    </row>
    <row r="969" spans="2:6" hidden="1" x14ac:dyDescent="0.2">
      <c r="B969" t="s">
        <v>8221</v>
      </c>
      <c r="C969">
        <v>81</v>
      </c>
      <c r="E969" t="s">
        <v>8221</v>
      </c>
      <c r="F969">
        <v>2</v>
      </c>
    </row>
    <row r="970" spans="2:6" hidden="1" x14ac:dyDescent="0.2">
      <c r="B970" t="s">
        <v>8221</v>
      </c>
      <c r="C970">
        <v>4</v>
      </c>
      <c r="E970" t="s">
        <v>8221</v>
      </c>
      <c r="F970">
        <v>2</v>
      </c>
    </row>
    <row r="971" spans="2:6" hidden="1" x14ac:dyDescent="0.2">
      <c r="B971" t="s">
        <v>8221</v>
      </c>
      <c r="C971">
        <v>11</v>
      </c>
      <c r="E971" t="s">
        <v>8221</v>
      </c>
      <c r="F971">
        <v>2</v>
      </c>
    </row>
    <row r="972" spans="2:6" hidden="1" x14ac:dyDescent="0.2">
      <c r="B972" t="s">
        <v>8221</v>
      </c>
      <c r="C972">
        <v>14</v>
      </c>
      <c r="E972" t="s">
        <v>8221</v>
      </c>
      <c r="F972">
        <v>2</v>
      </c>
    </row>
    <row r="973" spans="2:6" hidden="1" x14ac:dyDescent="0.2">
      <c r="B973" t="s">
        <v>8221</v>
      </c>
      <c r="C973">
        <v>5</v>
      </c>
      <c r="E973" t="s">
        <v>8221</v>
      </c>
      <c r="F973">
        <v>2</v>
      </c>
    </row>
    <row r="974" spans="2:6" hidden="1" x14ac:dyDescent="0.2">
      <c r="B974" t="s">
        <v>8221</v>
      </c>
      <c r="C974">
        <v>45</v>
      </c>
      <c r="E974" t="s">
        <v>8221</v>
      </c>
      <c r="F974">
        <v>2</v>
      </c>
    </row>
    <row r="975" spans="2:6" hidden="1" x14ac:dyDescent="0.2">
      <c r="B975" t="s">
        <v>8221</v>
      </c>
      <c r="C975">
        <v>8</v>
      </c>
      <c r="E975" t="s">
        <v>8221</v>
      </c>
      <c r="F975">
        <v>2</v>
      </c>
    </row>
    <row r="976" spans="2:6" hidden="1" x14ac:dyDescent="0.2">
      <c r="B976" t="s">
        <v>8221</v>
      </c>
      <c r="C976">
        <v>3</v>
      </c>
      <c r="E976" t="s">
        <v>8221</v>
      </c>
      <c r="F976">
        <v>2</v>
      </c>
    </row>
    <row r="977" spans="2:6" hidden="1" x14ac:dyDescent="0.2">
      <c r="B977" t="s">
        <v>8221</v>
      </c>
      <c r="C977">
        <v>24</v>
      </c>
      <c r="E977" t="s">
        <v>8221</v>
      </c>
      <c r="F977">
        <v>2</v>
      </c>
    </row>
    <row r="978" spans="2:6" hidden="1" x14ac:dyDescent="0.2">
      <c r="B978" t="s">
        <v>8221</v>
      </c>
      <c r="C978">
        <v>18</v>
      </c>
      <c r="E978" t="s">
        <v>8221</v>
      </c>
      <c r="F978">
        <v>2</v>
      </c>
    </row>
    <row r="979" spans="2:6" hidden="1" x14ac:dyDescent="0.2">
      <c r="B979" t="s">
        <v>8221</v>
      </c>
      <c r="C979">
        <v>12</v>
      </c>
      <c r="E979" t="s">
        <v>8221</v>
      </c>
      <c r="F979">
        <v>2</v>
      </c>
    </row>
    <row r="980" spans="2:6" hidden="1" x14ac:dyDescent="0.2">
      <c r="B980" t="s">
        <v>8221</v>
      </c>
      <c r="C980">
        <v>123</v>
      </c>
      <c r="E980" t="s">
        <v>8221</v>
      </c>
      <c r="F980">
        <v>2</v>
      </c>
    </row>
    <row r="981" spans="2:6" hidden="1" x14ac:dyDescent="0.2">
      <c r="B981" t="s">
        <v>8221</v>
      </c>
      <c r="C981">
        <v>96</v>
      </c>
      <c r="E981" t="s">
        <v>8221</v>
      </c>
      <c r="F981">
        <v>2</v>
      </c>
    </row>
    <row r="982" spans="2:6" hidden="1" x14ac:dyDescent="0.2">
      <c r="B982" t="s">
        <v>8221</v>
      </c>
      <c r="C982">
        <v>31</v>
      </c>
      <c r="E982" t="s">
        <v>8221</v>
      </c>
      <c r="F982">
        <v>2</v>
      </c>
    </row>
    <row r="983" spans="2:6" hidden="1" x14ac:dyDescent="0.2">
      <c r="B983" t="s">
        <v>8221</v>
      </c>
      <c r="C983">
        <v>4</v>
      </c>
      <c r="E983" t="s">
        <v>8221</v>
      </c>
      <c r="F983">
        <v>2</v>
      </c>
    </row>
    <row r="984" spans="2:6" hidden="1" x14ac:dyDescent="0.2">
      <c r="B984" t="s">
        <v>8221</v>
      </c>
      <c r="C984">
        <v>3</v>
      </c>
      <c r="E984" t="s">
        <v>8221</v>
      </c>
      <c r="F984">
        <v>2</v>
      </c>
    </row>
    <row r="985" spans="2:6" hidden="1" x14ac:dyDescent="0.2">
      <c r="B985" t="s">
        <v>8221</v>
      </c>
      <c r="C985">
        <v>179</v>
      </c>
      <c r="E985" t="s">
        <v>8221</v>
      </c>
      <c r="F985">
        <v>2</v>
      </c>
    </row>
    <row r="986" spans="2:6" hidden="1" x14ac:dyDescent="0.2">
      <c r="B986" t="s">
        <v>8221</v>
      </c>
      <c r="C986">
        <v>3</v>
      </c>
      <c r="E986" t="s">
        <v>8221</v>
      </c>
      <c r="F986">
        <v>2</v>
      </c>
    </row>
    <row r="987" spans="2:6" hidden="1" x14ac:dyDescent="0.2">
      <c r="B987" t="s">
        <v>8221</v>
      </c>
      <c r="C987">
        <v>23</v>
      </c>
      <c r="E987" t="s">
        <v>8221</v>
      </c>
      <c r="F987">
        <v>2</v>
      </c>
    </row>
    <row r="988" spans="2:6" hidden="1" x14ac:dyDescent="0.2">
      <c r="B988" t="s">
        <v>8221</v>
      </c>
      <c r="C988">
        <v>23</v>
      </c>
      <c r="E988" t="s">
        <v>8221</v>
      </c>
      <c r="F988">
        <v>2</v>
      </c>
    </row>
    <row r="989" spans="2:6" hidden="1" x14ac:dyDescent="0.2">
      <c r="B989" t="s">
        <v>8221</v>
      </c>
      <c r="C989">
        <v>41</v>
      </c>
      <c r="E989" t="s">
        <v>8221</v>
      </c>
      <c r="F989">
        <v>2</v>
      </c>
    </row>
    <row r="990" spans="2:6" hidden="1" x14ac:dyDescent="0.2">
      <c r="B990" t="s">
        <v>8221</v>
      </c>
      <c r="C990">
        <v>0</v>
      </c>
      <c r="E990" t="s">
        <v>8221</v>
      </c>
      <c r="F990">
        <v>2</v>
      </c>
    </row>
    <row r="991" spans="2:6" hidden="1" x14ac:dyDescent="0.2">
      <c r="B991" t="s">
        <v>8221</v>
      </c>
      <c r="C991">
        <v>32</v>
      </c>
      <c r="E991" t="s">
        <v>8221</v>
      </c>
      <c r="F991">
        <v>2</v>
      </c>
    </row>
    <row r="992" spans="2:6" hidden="1" x14ac:dyDescent="0.2">
      <c r="B992" t="s">
        <v>8221</v>
      </c>
      <c r="C992">
        <v>2</v>
      </c>
      <c r="E992" t="s">
        <v>8221</v>
      </c>
      <c r="F992">
        <v>2</v>
      </c>
    </row>
    <row r="993" spans="2:6" hidden="1" x14ac:dyDescent="0.2">
      <c r="B993" t="s">
        <v>8221</v>
      </c>
      <c r="C993">
        <v>7</v>
      </c>
      <c r="E993" t="s">
        <v>8221</v>
      </c>
      <c r="F993">
        <v>2</v>
      </c>
    </row>
    <row r="994" spans="2:6" hidden="1" x14ac:dyDescent="0.2">
      <c r="B994" t="s">
        <v>8221</v>
      </c>
      <c r="C994">
        <v>4</v>
      </c>
      <c r="E994" t="s">
        <v>8221</v>
      </c>
      <c r="F994">
        <v>2</v>
      </c>
    </row>
    <row r="995" spans="2:6" hidden="1" x14ac:dyDescent="0.2">
      <c r="B995" t="s">
        <v>8221</v>
      </c>
      <c r="C995">
        <v>196</v>
      </c>
      <c r="E995" t="s">
        <v>8221</v>
      </c>
      <c r="F995">
        <v>2</v>
      </c>
    </row>
    <row r="996" spans="2:6" hidden="1" x14ac:dyDescent="0.2">
      <c r="B996" t="s">
        <v>8221</v>
      </c>
      <c r="C996">
        <v>11</v>
      </c>
      <c r="E996" t="s">
        <v>8221</v>
      </c>
      <c r="F996">
        <v>2</v>
      </c>
    </row>
    <row r="997" spans="2:6" hidden="1" x14ac:dyDescent="0.2">
      <c r="B997" t="s">
        <v>8221</v>
      </c>
      <c r="C997">
        <v>9</v>
      </c>
      <c r="E997" t="s">
        <v>8221</v>
      </c>
      <c r="F997">
        <v>2</v>
      </c>
    </row>
    <row r="998" spans="2:6" hidden="1" x14ac:dyDescent="0.2">
      <c r="B998" t="s">
        <v>8221</v>
      </c>
      <c r="C998">
        <v>5</v>
      </c>
      <c r="E998" t="s">
        <v>8221</v>
      </c>
      <c r="F998">
        <v>2</v>
      </c>
    </row>
    <row r="999" spans="2:6" hidden="1" x14ac:dyDescent="0.2">
      <c r="B999" t="s">
        <v>8221</v>
      </c>
      <c r="C999">
        <v>8</v>
      </c>
      <c r="E999" t="s">
        <v>8221</v>
      </c>
      <c r="F999">
        <v>2</v>
      </c>
    </row>
    <row r="1000" spans="2:6" hidden="1" x14ac:dyDescent="0.2">
      <c r="B1000" t="s">
        <v>8221</v>
      </c>
      <c r="C1000">
        <v>229</v>
      </c>
      <c r="E1000" t="s">
        <v>8221</v>
      </c>
      <c r="F1000">
        <v>2</v>
      </c>
    </row>
    <row r="1001" spans="2:6" hidden="1" x14ac:dyDescent="0.2">
      <c r="B1001" t="s">
        <v>8221</v>
      </c>
      <c r="C1001">
        <v>40</v>
      </c>
      <c r="E1001" t="s">
        <v>8221</v>
      </c>
      <c r="F1001">
        <v>2</v>
      </c>
    </row>
    <row r="1002" spans="2:6" hidden="1" x14ac:dyDescent="0.2">
      <c r="B1002" t="s">
        <v>8220</v>
      </c>
      <c r="C1002">
        <v>6</v>
      </c>
      <c r="E1002" t="s">
        <v>8221</v>
      </c>
      <c r="F1002">
        <v>2</v>
      </c>
    </row>
    <row r="1003" spans="2:6" hidden="1" x14ac:dyDescent="0.2">
      <c r="B1003" t="s">
        <v>8220</v>
      </c>
      <c r="C1003">
        <v>4</v>
      </c>
      <c r="E1003" t="s">
        <v>8221</v>
      </c>
      <c r="F1003">
        <v>2</v>
      </c>
    </row>
    <row r="1004" spans="2:6" hidden="1" x14ac:dyDescent="0.2">
      <c r="B1004" t="s">
        <v>8220</v>
      </c>
      <c r="C1004">
        <v>22</v>
      </c>
      <c r="E1004" t="s">
        <v>8221</v>
      </c>
      <c r="F1004">
        <v>2</v>
      </c>
    </row>
    <row r="1005" spans="2:6" hidden="1" x14ac:dyDescent="0.2">
      <c r="B1005" t="s">
        <v>8220</v>
      </c>
      <c r="C1005">
        <v>15</v>
      </c>
      <c r="E1005" t="s">
        <v>8221</v>
      </c>
      <c r="F1005">
        <v>2</v>
      </c>
    </row>
    <row r="1006" spans="2:6" hidden="1" x14ac:dyDescent="0.2">
      <c r="B1006" t="s">
        <v>8220</v>
      </c>
      <c r="C1006">
        <v>95</v>
      </c>
      <c r="E1006" t="s">
        <v>8221</v>
      </c>
      <c r="F1006">
        <v>2</v>
      </c>
    </row>
    <row r="1007" spans="2:6" hidden="1" x14ac:dyDescent="0.2">
      <c r="B1007" t="s">
        <v>8220</v>
      </c>
      <c r="C1007">
        <v>161</v>
      </c>
      <c r="E1007" t="s">
        <v>8221</v>
      </c>
      <c r="F1007">
        <v>2</v>
      </c>
    </row>
    <row r="1008" spans="2:6" hidden="1" x14ac:dyDescent="0.2">
      <c r="B1008" t="s">
        <v>8220</v>
      </c>
      <c r="C1008">
        <v>8</v>
      </c>
      <c r="E1008" t="s">
        <v>8221</v>
      </c>
      <c r="F1008">
        <v>2</v>
      </c>
    </row>
    <row r="1009" spans="2:6" hidden="1" x14ac:dyDescent="0.2">
      <c r="B1009" t="s">
        <v>8220</v>
      </c>
      <c r="C1009">
        <v>76</v>
      </c>
      <c r="E1009" t="s">
        <v>8221</v>
      </c>
      <c r="F1009">
        <v>2</v>
      </c>
    </row>
    <row r="1010" spans="2:6" hidden="1" x14ac:dyDescent="0.2">
      <c r="B1010" t="s">
        <v>8220</v>
      </c>
      <c r="C1010">
        <v>1</v>
      </c>
      <c r="E1010" t="s">
        <v>8221</v>
      </c>
      <c r="F1010">
        <v>2</v>
      </c>
    </row>
    <row r="1011" spans="2:6" hidden="1" x14ac:dyDescent="0.2">
      <c r="B1011" t="s">
        <v>8220</v>
      </c>
      <c r="C1011">
        <v>101</v>
      </c>
      <c r="E1011" t="s">
        <v>8221</v>
      </c>
      <c r="F1011">
        <v>2</v>
      </c>
    </row>
    <row r="1012" spans="2:6" hidden="1" x14ac:dyDescent="0.2">
      <c r="B1012" t="s">
        <v>8220</v>
      </c>
      <c r="C1012">
        <v>4</v>
      </c>
      <c r="E1012" t="s">
        <v>8221</v>
      </c>
      <c r="F1012">
        <v>2</v>
      </c>
    </row>
    <row r="1013" spans="2:6" hidden="1" x14ac:dyDescent="0.2">
      <c r="B1013" t="s">
        <v>8220</v>
      </c>
      <c r="C1013">
        <v>1</v>
      </c>
      <c r="E1013" t="s">
        <v>8221</v>
      </c>
      <c r="F1013">
        <v>2</v>
      </c>
    </row>
    <row r="1014" spans="2:6" hidden="1" x14ac:dyDescent="0.2">
      <c r="B1014" t="s">
        <v>8220</v>
      </c>
      <c r="C1014">
        <v>775</v>
      </c>
      <c r="E1014" t="s">
        <v>8221</v>
      </c>
      <c r="F1014">
        <v>2</v>
      </c>
    </row>
    <row r="1015" spans="2:6" hidden="1" x14ac:dyDescent="0.2">
      <c r="B1015" t="s">
        <v>8220</v>
      </c>
      <c r="C1015">
        <v>90</v>
      </c>
      <c r="E1015" t="s">
        <v>8221</v>
      </c>
      <c r="F1015">
        <v>2</v>
      </c>
    </row>
    <row r="1016" spans="2:6" hidden="1" x14ac:dyDescent="0.2">
      <c r="B1016" t="s">
        <v>8220</v>
      </c>
      <c r="C1016">
        <v>16</v>
      </c>
      <c r="E1016" t="s">
        <v>8221</v>
      </c>
      <c r="F1016">
        <v>2</v>
      </c>
    </row>
    <row r="1017" spans="2:6" hidden="1" x14ac:dyDescent="0.2">
      <c r="B1017" t="s">
        <v>8220</v>
      </c>
      <c r="C1017">
        <v>6</v>
      </c>
      <c r="E1017" t="s">
        <v>8221</v>
      </c>
      <c r="F1017">
        <v>2</v>
      </c>
    </row>
    <row r="1018" spans="2:6" hidden="1" x14ac:dyDescent="0.2">
      <c r="B1018" t="s">
        <v>8220</v>
      </c>
      <c r="C1018">
        <v>38</v>
      </c>
      <c r="E1018" t="s">
        <v>8221</v>
      </c>
      <c r="F1018">
        <v>2</v>
      </c>
    </row>
    <row r="1019" spans="2:6" hidden="1" x14ac:dyDescent="0.2">
      <c r="B1019" t="s">
        <v>8220</v>
      </c>
      <c r="C1019">
        <v>355</v>
      </c>
      <c r="E1019" t="s">
        <v>8221</v>
      </c>
      <c r="F1019">
        <v>2</v>
      </c>
    </row>
    <row r="1020" spans="2:6" hidden="1" x14ac:dyDescent="0.2">
      <c r="B1020" t="s">
        <v>8220</v>
      </c>
      <c r="C1020">
        <v>7</v>
      </c>
      <c r="E1020" t="s">
        <v>8221</v>
      </c>
      <c r="F1020">
        <v>2</v>
      </c>
    </row>
    <row r="1021" spans="2:6" hidden="1" x14ac:dyDescent="0.2">
      <c r="B1021" t="s">
        <v>8220</v>
      </c>
      <c r="C1021">
        <v>400</v>
      </c>
      <c r="E1021" t="s">
        <v>8221</v>
      </c>
      <c r="F1021">
        <v>2</v>
      </c>
    </row>
    <row r="1022" spans="2:6" x14ac:dyDescent="0.2">
      <c r="B1022" t="s">
        <v>8219</v>
      </c>
      <c r="C1022">
        <v>169</v>
      </c>
      <c r="E1022" t="s">
        <v>8221</v>
      </c>
      <c r="F1022">
        <v>2</v>
      </c>
    </row>
    <row r="1023" spans="2:6" x14ac:dyDescent="0.2">
      <c r="B1023" t="s">
        <v>8219</v>
      </c>
      <c r="C1023">
        <v>169</v>
      </c>
      <c r="E1023" t="s">
        <v>8221</v>
      </c>
      <c r="F1023">
        <v>2</v>
      </c>
    </row>
    <row r="1024" spans="2:6" x14ac:dyDescent="0.2">
      <c r="B1024" t="s">
        <v>8219</v>
      </c>
      <c r="C1024">
        <v>168</v>
      </c>
      <c r="E1024" t="s">
        <v>8221</v>
      </c>
      <c r="F1024">
        <v>2</v>
      </c>
    </row>
    <row r="1025" spans="2:6" x14ac:dyDescent="0.2">
      <c r="B1025" t="s">
        <v>8219</v>
      </c>
      <c r="C1025">
        <v>168</v>
      </c>
      <c r="E1025" t="s">
        <v>8221</v>
      </c>
      <c r="F1025">
        <v>2</v>
      </c>
    </row>
    <row r="1026" spans="2:6" x14ac:dyDescent="0.2">
      <c r="B1026" t="s">
        <v>8219</v>
      </c>
      <c r="C1026">
        <v>168</v>
      </c>
      <c r="E1026" t="s">
        <v>8221</v>
      </c>
      <c r="F1026">
        <v>2</v>
      </c>
    </row>
    <row r="1027" spans="2:6" x14ac:dyDescent="0.2">
      <c r="B1027" t="s">
        <v>8219</v>
      </c>
      <c r="C1027">
        <v>168</v>
      </c>
      <c r="E1027" t="s">
        <v>8221</v>
      </c>
      <c r="F1027">
        <v>2</v>
      </c>
    </row>
    <row r="1028" spans="2:6" x14ac:dyDescent="0.2">
      <c r="B1028" t="s">
        <v>8219</v>
      </c>
      <c r="C1028">
        <v>167</v>
      </c>
      <c r="E1028" t="s">
        <v>8221</v>
      </c>
      <c r="F1028">
        <v>2</v>
      </c>
    </row>
    <row r="1029" spans="2:6" x14ac:dyDescent="0.2">
      <c r="B1029" t="s">
        <v>8219</v>
      </c>
      <c r="C1029">
        <v>167</v>
      </c>
      <c r="E1029" t="s">
        <v>8221</v>
      </c>
      <c r="F1029">
        <v>2</v>
      </c>
    </row>
    <row r="1030" spans="2:6" x14ac:dyDescent="0.2">
      <c r="B1030" t="s">
        <v>8219</v>
      </c>
      <c r="C1030">
        <v>167</v>
      </c>
      <c r="E1030" t="s">
        <v>8221</v>
      </c>
      <c r="F1030">
        <v>2</v>
      </c>
    </row>
    <row r="1031" spans="2:6" x14ac:dyDescent="0.2">
      <c r="B1031" t="s">
        <v>8219</v>
      </c>
      <c r="C1031">
        <v>167</v>
      </c>
      <c r="E1031" t="s">
        <v>8221</v>
      </c>
      <c r="F1031">
        <v>2</v>
      </c>
    </row>
    <row r="1032" spans="2:6" x14ac:dyDescent="0.2">
      <c r="B1032" t="s">
        <v>8219</v>
      </c>
      <c r="C1032">
        <v>167</v>
      </c>
      <c r="E1032" t="s">
        <v>8221</v>
      </c>
      <c r="F1032">
        <v>2</v>
      </c>
    </row>
    <row r="1033" spans="2:6" x14ac:dyDescent="0.2">
      <c r="B1033" t="s">
        <v>8219</v>
      </c>
      <c r="C1033">
        <v>167</v>
      </c>
      <c r="E1033" t="s">
        <v>8221</v>
      </c>
      <c r="F1033">
        <v>2</v>
      </c>
    </row>
    <row r="1034" spans="2:6" x14ac:dyDescent="0.2">
      <c r="B1034" t="s">
        <v>8219</v>
      </c>
      <c r="C1034">
        <v>167</v>
      </c>
      <c r="E1034" t="s">
        <v>8221</v>
      </c>
      <c r="F1034">
        <v>2</v>
      </c>
    </row>
    <row r="1035" spans="2:6" x14ac:dyDescent="0.2">
      <c r="B1035" t="s">
        <v>8219</v>
      </c>
      <c r="C1035">
        <v>166</v>
      </c>
      <c r="E1035" t="s">
        <v>8221</v>
      </c>
      <c r="F1035">
        <v>2</v>
      </c>
    </row>
    <row r="1036" spans="2:6" x14ac:dyDescent="0.2">
      <c r="B1036" t="s">
        <v>8219</v>
      </c>
      <c r="C1036">
        <v>165</v>
      </c>
      <c r="E1036" t="s">
        <v>8221</v>
      </c>
      <c r="F1036">
        <v>2</v>
      </c>
    </row>
    <row r="1037" spans="2:6" x14ac:dyDescent="0.2">
      <c r="B1037" t="s">
        <v>8219</v>
      </c>
      <c r="C1037">
        <v>165</v>
      </c>
      <c r="E1037" t="s">
        <v>8221</v>
      </c>
      <c r="F1037">
        <v>2</v>
      </c>
    </row>
    <row r="1038" spans="2:6" x14ac:dyDescent="0.2">
      <c r="B1038" t="s">
        <v>8219</v>
      </c>
      <c r="C1038">
        <v>165</v>
      </c>
      <c r="E1038" t="s">
        <v>8221</v>
      </c>
      <c r="F1038">
        <v>2</v>
      </c>
    </row>
    <row r="1039" spans="2:6" x14ac:dyDescent="0.2">
      <c r="B1039" t="s">
        <v>8219</v>
      </c>
      <c r="C1039">
        <v>163</v>
      </c>
      <c r="E1039" t="s">
        <v>8221</v>
      </c>
      <c r="F1039">
        <v>2</v>
      </c>
    </row>
    <row r="1040" spans="2:6" x14ac:dyDescent="0.2">
      <c r="B1040" t="s">
        <v>8219</v>
      </c>
      <c r="C1040">
        <v>163</v>
      </c>
      <c r="E1040" t="s">
        <v>8221</v>
      </c>
      <c r="F1040">
        <v>1</v>
      </c>
    </row>
    <row r="1041" spans="2:6" x14ac:dyDescent="0.2">
      <c r="B1041" t="s">
        <v>8219</v>
      </c>
      <c r="C1041">
        <v>163</v>
      </c>
      <c r="E1041" t="s">
        <v>8221</v>
      </c>
      <c r="F1041">
        <v>1</v>
      </c>
    </row>
    <row r="1042" spans="2:6" hidden="1" x14ac:dyDescent="0.2">
      <c r="B1042" t="s">
        <v>8220</v>
      </c>
      <c r="C1042">
        <v>1</v>
      </c>
      <c r="E1042" t="s">
        <v>8221</v>
      </c>
      <c r="F1042">
        <v>1</v>
      </c>
    </row>
    <row r="1043" spans="2:6" hidden="1" x14ac:dyDescent="0.2">
      <c r="B1043" t="s">
        <v>8220</v>
      </c>
      <c r="C1043">
        <v>0</v>
      </c>
      <c r="E1043" t="s">
        <v>8221</v>
      </c>
      <c r="F1043">
        <v>1</v>
      </c>
    </row>
    <row r="1044" spans="2:6" hidden="1" x14ac:dyDescent="0.2">
      <c r="B1044" t="s">
        <v>8220</v>
      </c>
      <c r="C1044">
        <v>1</v>
      </c>
      <c r="E1044" t="s">
        <v>8221</v>
      </c>
      <c r="F1044">
        <v>1</v>
      </c>
    </row>
    <row r="1045" spans="2:6" hidden="1" x14ac:dyDescent="0.2">
      <c r="B1045" t="s">
        <v>8220</v>
      </c>
      <c r="C1045">
        <v>292</v>
      </c>
      <c r="E1045" t="s">
        <v>8221</v>
      </c>
      <c r="F1045">
        <v>1</v>
      </c>
    </row>
    <row r="1046" spans="2:6" hidden="1" x14ac:dyDescent="0.2">
      <c r="B1046" t="s">
        <v>8220</v>
      </c>
      <c r="C1046">
        <v>2</v>
      </c>
      <c r="E1046" t="s">
        <v>8221</v>
      </c>
      <c r="F1046">
        <v>1</v>
      </c>
    </row>
    <row r="1047" spans="2:6" hidden="1" x14ac:dyDescent="0.2">
      <c r="B1047" t="s">
        <v>8220</v>
      </c>
      <c r="C1047">
        <v>8</v>
      </c>
      <c r="E1047" t="s">
        <v>8221</v>
      </c>
      <c r="F1047">
        <v>1</v>
      </c>
    </row>
    <row r="1048" spans="2:6" hidden="1" x14ac:dyDescent="0.2">
      <c r="B1048" t="s">
        <v>8220</v>
      </c>
      <c r="C1048">
        <v>0</v>
      </c>
      <c r="E1048" t="s">
        <v>8221</v>
      </c>
      <c r="F1048">
        <v>1</v>
      </c>
    </row>
    <row r="1049" spans="2:6" hidden="1" x14ac:dyDescent="0.2">
      <c r="B1049" t="s">
        <v>8220</v>
      </c>
      <c r="C1049">
        <v>1</v>
      </c>
      <c r="E1049" t="s">
        <v>8221</v>
      </c>
      <c r="F1049">
        <v>1</v>
      </c>
    </row>
    <row r="1050" spans="2:6" hidden="1" x14ac:dyDescent="0.2">
      <c r="B1050" t="s">
        <v>8220</v>
      </c>
      <c r="C1050">
        <v>4</v>
      </c>
      <c r="E1050" t="s">
        <v>8221</v>
      </c>
      <c r="F1050">
        <v>1</v>
      </c>
    </row>
    <row r="1051" spans="2:6" hidden="1" x14ac:dyDescent="0.2">
      <c r="B1051" t="s">
        <v>8220</v>
      </c>
      <c r="C1051">
        <v>0</v>
      </c>
      <c r="E1051" t="s">
        <v>8221</v>
      </c>
      <c r="F1051">
        <v>1</v>
      </c>
    </row>
    <row r="1052" spans="2:6" hidden="1" x14ac:dyDescent="0.2">
      <c r="B1052" t="s">
        <v>8220</v>
      </c>
      <c r="C1052">
        <v>0</v>
      </c>
      <c r="E1052" t="s">
        <v>8221</v>
      </c>
      <c r="F1052">
        <v>1</v>
      </c>
    </row>
    <row r="1053" spans="2:6" hidden="1" x14ac:dyDescent="0.2">
      <c r="B1053" t="s">
        <v>8220</v>
      </c>
      <c r="C1053">
        <v>0</v>
      </c>
      <c r="E1053" t="s">
        <v>8221</v>
      </c>
      <c r="F1053">
        <v>1</v>
      </c>
    </row>
    <row r="1054" spans="2:6" hidden="1" x14ac:dyDescent="0.2">
      <c r="B1054" t="s">
        <v>8220</v>
      </c>
      <c r="C1054">
        <v>0</v>
      </c>
      <c r="E1054" t="s">
        <v>8221</v>
      </c>
      <c r="F1054">
        <v>1</v>
      </c>
    </row>
    <row r="1055" spans="2:6" hidden="1" x14ac:dyDescent="0.2">
      <c r="B1055" t="s">
        <v>8220</v>
      </c>
      <c r="C1055">
        <v>1</v>
      </c>
      <c r="E1055" t="s">
        <v>8221</v>
      </c>
      <c r="F1055">
        <v>1</v>
      </c>
    </row>
    <row r="1056" spans="2:6" hidden="1" x14ac:dyDescent="0.2">
      <c r="B1056" t="s">
        <v>8220</v>
      </c>
      <c r="C1056">
        <v>0</v>
      </c>
      <c r="E1056" t="s">
        <v>8221</v>
      </c>
      <c r="F1056">
        <v>1</v>
      </c>
    </row>
    <row r="1057" spans="2:6" hidden="1" x14ac:dyDescent="0.2">
      <c r="B1057" t="s">
        <v>8220</v>
      </c>
      <c r="C1057">
        <v>0</v>
      </c>
      <c r="E1057" t="s">
        <v>8221</v>
      </c>
      <c r="F1057">
        <v>1</v>
      </c>
    </row>
    <row r="1058" spans="2:6" hidden="1" x14ac:dyDescent="0.2">
      <c r="B1058" t="s">
        <v>8220</v>
      </c>
      <c r="C1058">
        <v>0</v>
      </c>
      <c r="E1058" t="s">
        <v>8221</v>
      </c>
      <c r="F1058">
        <v>1</v>
      </c>
    </row>
    <row r="1059" spans="2:6" hidden="1" x14ac:dyDescent="0.2">
      <c r="B1059" t="s">
        <v>8220</v>
      </c>
      <c r="C1059">
        <v>0</v>
      </c>
      <c r="E1059" t="s">
        <v>8221</v>
      </c>
      <c r="F1059">
        <v>1</v>
      </c>
    </row>
    <row r="1060" spans="2:6" hidden="1" x14ac:dyDescent="0.2">
      <c r="B1060" t="s">
        <v>8220</v>
      </c>
      <c r="C1060">
        <v>0</v>
      </c>
      <c r="E1060" t="s">
        <v>8221</v>
      </c>
      <c r="F1060">
        <v>1</v>
      </c>
    </row>
    <row r="1061" spans="2:6" hidden="1" x14ac:dyDescent="0.2">
      <c r="B1061" t="s">
        <v>8220</v>
      </c>
      <c r="C1061">
        <v>0</v>
      </c>
      <c r="E1061" t="s">
        <v>8221</v>
      </c>
      <c r="F1061">
        <v>1</v>
      </c>
    </row>
    <row r="1062" spans="2:6" hidden="1" x14ac:dyDescent="0.2">
      <c r="B1062" t="s">
        <v>8220</v>
      </c>
      <c r="C1062">
        <v>1</v>
      </c>
      <c r="E1062" t="s">
        <v>8221</v>
      </c>
      <c r="F1062">
        <v>1</v>
      </c>
    </row>
    <row r="1063" spans="2:6" hidden="1" x14ac:dyDescent="0.2">
      <c r="B1063" t="s">
        <v>8220</v>
      </c>
      <c r="C1063">
        <v>0</v>
      </c>
      <c r="E1063" t="s">
        <v>8221</v>
      </c>
      <c r="F1063">
        <v>1</v>
      </c>
    </row>
    <row r="1064" spans="2:6" hidden="1" x14ac:dyDescent="0.2">
      <c r="B1064" t="s">
        <v>8220</v>
      </c>
      <c r="C1064">
        <v>4</v>
      </c>
      <c r="E1064" t="s">
        <v>8221</v>
      </c>
      <c r="F1064">
        <v>1</v>
      </c>
    </row>
    <row r="1065" spans="2:6" hidden="1" x14ac:dyDescent="0.2">
      <c r="B1065" t="s">
        <v>8220</v>
      </c>
      <c r="C1065">
        <v>0</v>
      </c>
      <c r="E1065" t="s">
        <v>8221</v>
      </c>
      <c r="F1065">
        <v>1</v>
      </c>
    </row>
    <row r="1066" spans="2:6" hidden="1" x14ac:dyDescent="0.2">
      <c r="B1066" t="s">
        <v>8221</v>
      </c>
      <c r="C1066">
        <v>123</v>
      </c>
      <c r="E1066" t="s">
        <v>8221</v>
      </c>
      <c r="F1066">
        <v>1</v>
      </c>
    </row>
    <row r="1067" spans="2:6" hidden="1" x14ac:dyDescent="0.2">
      <c r="B1067" t="s">
        <v>8221</v>
      </c>
      <c r="C1067">
        <v>5</v>
      </c>
      <c r="E1067" t="s">
        <v>8221</v>
      </c>
      <c r="F1067">
        <v>1</v>
      </c>
    </row>
    <row r="1068" spans="2:6" hidden="1" x14ac:dyDescent="0.2">
      <c r="B1068" t="s">
        <v>8221</v>
      </c>
      <c r="C1068">
        <v>148</v>
      </c>
      <c r="E1068" t="s">
        <v>8221</v>
      </c>
      <c r="F1068">
        <v>1</v>
      </c>
    </row>
    <row r="1069" spans="2:6" hidden="1" x14ac:dyDescent="0.2">
      <c r="B1069" t="s">
        <v>8221</v>
      </c>
      <c r="C1069">
        <v>10</v>
      </c>
      <c r="E1069" t="s">
        <v>8221</v>
      </c>
      <c r="F1069">
        <v>1</v>
      </c>
    </row>
    <row r="1070" spans="2:6" hidden="1" x14ac:dyDescent="0.2">
      <c r="B1070" t="s">
        <v>8221</v>
      </c>
      <c r="C1070">
        <v>4</v>
      </c>
      <c r="E1070" t="s">
        <v>8221</v>
      </c>
      <c r="F1070">
        <v>1</v>
      </c>
    </row>
    <row r="1071" spans="2:6" hidden="1" x14ac:dyDescent="0.2">
      <c r="B1071" t="s">
        <v>8221</v>
      </c>
      <c r="C1071">
        <v>21</v>
      </c>
      <c r="E1071" t="s">
        <v>8221</v>
      </c>
      <c r="F1071">
        <v>1</v>
      </c>
    </row>
    <row r="1072" spans="2:6" hidden="1" x14ac:dyDescent="0.2">
      <c r="B1072" t="s">
        <v>8221</v>
      </c>
      <c r="C1072">
        <v>2</v>
      </c>
      <c r="E1072" t="s">
        <v>8221</v>
      </c>
      <c r="F1072">
        <v>1</v>
      </c>
    </row>
    <row r="1073" spans="2:6" hidden="1" x14ac:dyDescent="0.2">
      <c r="B1073" t="s">
        <v>8221</v>
      </c>
      <c r="C1073">
        <v>0</v>
      </c>
      <c r="E1073" t="s">
        <v>8221</v>
      </c>
      <c r="F1073">
        <v>1</v>
      </c>
    </row>
    <row r="1074" spans="2:6" hidden="1" x14ac:dyDescent="0.2">
      <c r="B1074" t="s">
        <v>8221</v>
      </c>
      <c r="C1074">
        <v>4</v>
      </c>
      <c r="E1074" t="s">
        <v>8221</v>
      </c>
      <c r="F1074">
        <v>1</v>
      </c>
    </row>
    <row r="1075" spans="2:6" hidden="1" x14ac:dyDescent="0.2">
      <c r="B1075" t="s">
        <v>8221</v>
      </c>
      <c r="C1075">
        <v>1</v>
      </c>
      <c r="E1075" t="s">
        <v>8221</v>
      </c>
      <c r="F1075">
        <v>1</v>
      </c>
    </row>
    <row r="1076" spans="2:6" hidden="1" x14ac:dyDescent="0.2">
      <c r="B1076" t="s">
        <v>8221</v>
      </c>
      <c r="C1076">
        <v>30</v>
      </c>
      <c r="E1076" t="s">
        <v>8221</v>
      </c>
      <c r="F1076">
        <v>1</v>
      </c>
    </row>
    <row r="1077" spans="2:6" hidden="1" x14ac:dyDescent="0.2">
      <c r="B1077" t="s">
        <v>8221</v>
      </c>
      <c r="C1077">
        <v>3</v>
      </c>
      <c r="E1077" t="s">
        <v>8221</v>
      </c>
      <c r="F1077">
        <v>1</v>
      </c>
    </row>
    <row r="1078" spans="2:6" hidden="1" x14ac:dyDescent="0.2">
      <c r="B1078" t="s">
        <v>8221</v>
      </c>
      <c r="C1078">
        <v>975</v>
      </c>
      <c r="E1078" t="s">
        <v>8221</v>
      </c>
      <c r="F1078">
        <v>1</v>
      </c>
    </row>
    <row r="1079" spans="2:6" hidden="1" x14ac:dyDescent="0.2">
      <c r="B1079" t="s">
        <v>8221</v>
      </c>
      <c r="C1079">
        <v>167</v>
      </c>
      <c r="E1079" t="s">
        <v>8221</v>
      </c>
      <c r="F1079">
        <v>1</v>
      </c>
    </row>
    <row r="1080" spans="2:6" hidden="1" x14ac:dyDescent="0.2">
      <c r="B1080" t="s">
        <v>8221</v>
      </c>
      <c r="C1080">
        <v>5</v>
      </c>
      <c r="E1080" t="s">
        <v>8221</v>
      </c>
      <c r="F1080">
        <v>1</v>
      </c>
    </row>
    <row r="1081" spans="2:6" hidden="1" x14ac:dyDescent="0.2">
      <c r="B1081" t="s">
        <v>8221</v>
      </c>
      <c r="C1081">
        <v>18</v>
      </c>
      <c r="E1081" t="s">
        <v>8221</v>
      </c>
      <c r="F1081">
        <v>1</v>
      </c>
    </row>
    <row r="1082" spans="2:6" hidden="1" x14ac:dyDescent="0.2">
      <c r="B1082" t="s">
        <v>8221</v>
      </c>
      <c r="C1082">
        <v>98</v>
      </c>
      <c r="E1082" t="s">
        <v>8221</v>
      </c>
      <c r="F1082">
        <v>1</v>
      </c>
    </row>
    <row r="1083" spans="2:6" hidden="1" x14ac:dyDescent="0.2">
      <c r="B1083" t="s">
        <v>8221</v>
      </c>
      <c r="C1083">
        <v>4</v>
      </c>
      <c r="E1083" t="s">
        <v>8221</v>
      </c>
      <c r="F1083">
        <v>1</v>
      </c>
    </row>
    <row r="1084" spans="2:6" hidden="1" x14ac:dyDescent="0.2">
      <c r="B1084" t="s">
        <v>8221</v>
      </c>
      <c r="C1084">
        <v>3</v>
      </c>
      <c r="E1084" t="s">
        <v>8221</v>
      </c>
      <c r="F1084">
        <v>1</v>
      </c>
    </row>
    <row r="1085" spans="2:6" hidden="1" x14ac:dyDescent="0.2">
      <c r="B1085" t="s">
        <v>8221</v>
      </c>
      <c r="C1085">
        <v>1</v>
      </c>
      <c r="E1085" t="s">
        <v>8221</v>
      </c>
      <c r="F1085">
        <v>1</v>
      </c>
    </row>
    <row r="1086" spans="2:6" hidden="1" x14ac:dyDescent="0.2">
      <c r="B1086" t="s">
        <v>8221</v>
      </c>
      <c r="C1086">
        <v>0</v>
      </c>
      <c r="E1086" t="s">
        <v>8221</v>
      </c>
      <c r="F1086">
        <v>1</v>
      </c>
    </row>
    <row r="1087" spans="2:6" hidden="1" x14ac:dyDescent="0.2">
      <c r="B1087" t="s">
        <v>8221</v>
      </c>
      <c r="C1087">
        <v>9</v>
      </c>
      <c r="E1087" t="s">
        <v>8221</v>
      </c>
      <c r="F1087">
        <v>1</v>
      </c>
    </row>
    <row r="1088" spans="2:6" hidden="1" x14ac:dyDescent="0.2">
      <c r="B1088" t="s">
        <v>8221</v>
      </c>
      <c r="C1088">
        <v>2</v>
      </c>
      <c r="E1088" t="s">
        <v>8221</v>
      </c>
      <c r="F1088">
        <v>1</v>
      </c>
    </row>
    <row r="1089" spans="2:6" hidden="1" x14ac:dyDescent="0.2">
      <c r="B1089" t="s">
        <v>8221</v>
      </c>
      <c r="C1089">
        <v>0</v>
      </c>
      <c r="E1089" t="s">
        <v>8221</v>
      </c>
      <c r="F1089">
        <v>1</v>
      </c>
    </row>
    <row r="1090" spans="2:6" hidden="1" x14ac:dyDescent="0.2">
      <c r="B1090" t="s">
        <v>8221</v>
      </c>
      <c r="C1090">
        <v>147</v>
      </c>
      <c r="E1090" t="s">
        <v>8221</v>
      </c>
      <c r="F1090">
        <v>1</v>
      </c>
    </row>
    <row r="1091" spans="2:6" hidden="1" x14ac:dyDescent="0.2">
      <c r="B1091" t="s">
        <v>8221</v>
      </c>
      <c r="C1091">
        <v>49</v>
      </c>
      <c r="E1091" t="s">
        <v>8221</v>
      </c>
      <c r="F1091">
        <v>1</v>
      </c>
    </row>
    <row r="1092" spans="2:6" hidden="1" x14ac:dyDescent="0.2">
      <c r="B1092" t="s">
        <v>8221</v>
      </c>
      <c r="C1092">
        <v>1</v>
      </c>
      <c r="E1092" t="s">
        <v>8221</v>
      </c>
      <c r="F1092">
        <v>1</v>
      </c>
    </row>
    <row r="1093" spans="2:6" hidden="1" x14ac:dyDescent="0.2">
      <c r="B1093" t="s">
        <v>8221</v>
      </c>
      <c r="C1093">
        <v>2</v>
      </c>
      <c r="E1093" t="s">
        <v>8221</v>
      </c>
      <c r="F1093">
        <v>1</v>
      </c>
    </row>
    <row r="1094" spans="2:6" hidden="1" x14ac:dyDescent="0.2">
      <c r="B1094" t="s">
        <v>8221</v>
      </c>
      <c r="C1094">
        <v>7</v>
      </c>
      <c r="E1094" t="s">
        <v>8221</v>
      </c>
      <c r="F1094">
        <v>1</v>
      </c>
    </row>
    <row r="1095" spans="2:6" hidden="1" x14ac:dyDescent="0.2">
      <c r="B1095" t="s">
        <v>8221</v>
      </c>
      <c r="C1095">
        <v>4</v>
      </c>
      <c r="E1095" t="s">
        <v>8221</v>
      </c>
      <c r="F1095">
        <v>1</v>
      </c>
    </row>
    <row r="1096" spans="2:6" hidden="1" x14ac:dyDescent="0.2">
      <c r="B1096" t="s">
        <v>8221</v>
      </c>
      <c r="C1096">
        <v>27</v>
      </c>
      <c r="E1096" t="s">
        <v>8221</v>
      </c>
      <c r="F1096">
        <v>1</v>
      </c>
    </row>
    <row r="1097" spans="2:6" hidden="1" x14ac:dyDescent="0.2">
      <c r="B1097" t="s">
        <v>8221</v>
      </c>
      <c r="C1097">
        <v>94</v>
      </c>
      <c r="E1097" t="s">
        <v>8221</v>
      </c>
      <c r="F1097">
        <v>1</v>
      </c>
    </row>
    <row r="1098" spans="2:6" hidden="1" x14ac:dyDescent="0.2">
      <c r="B1098" t="s">
        <v>8221</v>
      </c>
      <c r="C1098">
        <v>29</v>
      </c>
      <c r="E1098" t="s">
        <v>8221</v>
      </c>
      <c r="F1098">
        <v>1</v>
      </c>
    </row>
    <row r="1099" spans="2:6" hidden="1" x14ac:dyDescent="0.2">
      <c r="B1099" t="s">
        <v>8221</v>
      </c>
      <c r="C1099">
        <v>7</v>
      </c>
      <c r="E1099" t="s">
        <v>8221</v>
      </c>
      <c r="F1099">
        <v>1</v>
      </c>
    </row>
    <row r="1100" spans="2:6" hidden="1" x14ac:dyDescent="0.2">
      <c r="B1100" t="s">
        <v>8221</v>
      </c>
      <c r="C1100">
        <v>22</v>
      </c>
      <c r="E1100" t="s">
        <v>8221</v>
      </c>
      <c r="F1100">
        <v>1</v>
      </c>
    </row>
    <row r="1101" spans="2:6" hidden="1" x14ac:dyDescent="0.2">
      <c r="B1101" t="s">
        <v>8221</v>
      </c>
      <c r="C1101">
        <v>1</v>
      </c>
      <c r="E1101" t="s">
        <v>8221</v>
      </c>
      <c r="F1101">
        <v>1</v>
      </c>
    </row>
    <row r="1102" spans="2:6" hidden="1" x14ac:dyDescent="0.2">
      <c r="B1102" t="s">
        <v>8221</v>
      </c>
      <c r="C1102">
        <v>10</v>
      </c>
      <c r="E1102" t="s">
        <v>8221</v>
      </c>
      <c r="F1102">
        <v>1</v>
      </c>
    </row>
    <row r="1103" spans="2:6" hidden="1" x14ac:dyDescent="0.2">
      <c r="B1103" t="s">
        <v>8221</v>
      </c>
      <c r="C1103">
        <v>6</v>
      </c>
      <c r="E1103" t="s">
        <v>8221</v>
      </c>
      <c r="F1103">
        <v>1</v>
      </c>
    </row>
    <row r="1104" spans="2:6" hidden="1" x14ac:dyDescent="0.2">
      <c r="B1104" t="s">
        <v>8221</v>
      </c>
      <c r="C1104">
        <v>24</v>
      </c>
      <c r="E1104" t="s">
        <v>8221</v>
      </c>
      <c r="F1104">
        <v>1</v>
      </c>
    </row>
    <row r="1105" spans="2:6" hidden="1" x14ac:dyDescent="0.2">
      <c r="B1105" t="s">
        <v>8221</v>
      </c>
      <c r="C1105">
        <v>15</v>
      </c>
      <c r="E1105" t="s">
        <v>8221</v>
      </c>
      <c r="F1105">
        <v>1</v>
      </c>
    </row>
    <row r="1106" spans="2:6" hidden="1" x14ac:dyDescent="0.2">
      <c r="B1106" t="s">
        <v>8221</v>
      </c>
      <c r="C1106">
        <v>37</v>
      </c>
      <c r="E1106" t="s">
        <v>8221</v>
      </c>
      <c r="F1106">
        <v>1</v>
      </c>
    </row>
    <row r="1107" spans="2:6" hidden="1" x14ac:dyDescent="0.2">
      <c r="B1107" t="s">
        <v>8221</v>
      </c>
      <c r="C1107">
        <v>20</v>
      </c>
      <c r="E1107" t="s">
        <v>8221</v>
      </c>
      <c r="F1107">
        <v>1</v>
      </c>
    </row>
    <row r="1108" spans="2:6" hidden="1" x14ac:dyDescent="0.2">
      <c r="B1108" t="s">
        <v>8221</v>
      </c>
      <c r="C1108">
        <v>7</v>
      </c>
      <c r="E1108" t="s">
        <v>8221</v>
      </c>
      <c r="F1108">
        <v>1</v>
      </c>
    </row>
    <row r="1109" spans="2:6" hidden="1" x14ac:dyDescent="0.2">
      <c r="B1109" t="s">
        <v>8221</v>
      </c>
      <c r="C1109">
        <v>0</v>
      </c>
      <c r="E1109" t="s">
        <v>8221</v>
      </c>
      <c r="F1109">
        <v>1</v>
      </c>
    </row>
    <row r="1110" spans="2:6" hidden="1" x14ac:dyDescent="0.2">
      <c r="B1110" t="s">
        <v>8221</v>
      </c>
      <c r="C1110">
        <v>21</v>
      </c>
      <c r="E1110" t="s">
        <v>8221</v>
      </c>
      <c r="F1110">
        <v>1</v>
      </c>
    </row>
    <row r="1111" spans="2:6" hidden="1" x14ac:dyDescent="0.2">
      <c r="B1111" t="s">
        <v>8221</v>
      </c>
      <c r="C1111">
        <v>3</v>
      </c>
      <c r="E1111" t="s">
        <v>8221</v>
      </c>
      <c r="F1111">
        <v>1</v>
      </c>
    </row>
    <row r="1112" spans="2:6" hidden="1" x14ac:dyDescent="0.2">
      <c r="B1112" t="s">
        <v>8221</v>
      </c>
      <c r="C1112">
        <v>11</v>
      </c>
      <c r="E1112" t="s">
        <v>8221</v>
      </c>
      <c r="F1112">
        <v>1</v>
      </c>
    </row>
    <row r="1113" spans="2:6" hidden="1" x14ac:dyDescent="0.2">
      <c r="B1113" t="s">
        <v>8221</v>
      </c>
      <c r="C1113">
        <v>1</v>
      </c>
      <c r="E1113" t="s">
        <v>8221</v>
      </c>
      <c r="F1113">
        <v>1</v>
      </c>
    </row>
    <row r="1114" spans="2:6" hidden="1" x14ac:dyDescent="0.2">
      <c r="B1114" t="s">
        <v>8221</v>
      </c>
      <c r="C1114">
        <v>312</v>
      </c>
      <c r="E1114" t="s">
        <v>8221</v>
      </c>
      <c r="F1114">
        <v>1</v>
      </c>
    </row>
    <row r="1115" spans="2:6" hidden="1" x14ac:dyDescent="0.2">
      <c r="B1115" t="s">
        <v>8221</v>
      </c>
      <c r="C1115">
        <v>1</v>
      </c>
      <c r="E1115" t="s">
        <v>8221</v>
      </c>
      <c r="F1115">
        <v>1</v>
      </c>
    </row>
    <row r="1116" spans="2:6" hidden="1" x14ac:dyDescent="0.2">
      <c r="B1116" t="s">
        <v>8221</v>
      </c>
      <c r="C1116">
        <v>3</v>
      </c>
      <c r="E1116" t="s">
        <v>8221</v>
      </c>
      <c r="F1116">
        <v>1</v>
      </c>
    </row>
    <row r="1117" spans="2:6" hidden="1" x14ac:dyDescent="0.2">
      <c r="B1117" t="s">
        <v>8221</v>
      </c>
      <c r="C1117">
        <v>4</v>
      </c>
      <c r="E1117" t="s">
        <v>8221</v>
      </c>
      <c r="F1117">
        <v>1</v>
      </c>
    </row>
    <row r="1118" spans="2:6" hidden="1" x14ac:dyDescent="0.2">
      <c r="B1118" t="s">
        <v>8221</v>
      </c>
      <c r="C1118">
        <v>10</v>
      </c>
      <c r="E1118" t="s">
        <v>8221</v>
      </c>
      <c r="F1118">
        <v>1</v>
      </c>
    </row>
    <row r="1119" spans="2:6" hidden="1" x14ac:dyDescent="0.2">
      <c r="B1119" t="s">
        <v>8221</v>
      </c>
      <c r="C1119">
        <v>8</v>
      </c>
      <c r="E1119" t="s">
        <v>8221</v>
      </c>
      <c r="F1119">
        <v>1</v>
      </c>
    </row>
    <row r="1120" spans="2:6" hidden="1" x14ac:dyDescent="0.2">
      <c r="B1120" t="s">
        <v>8221</v>
      </c>
      <c r="C1120">
        <v>3</v>
      </c>
      <c r="E1120" t="s">
        <v>8221</v>
      </c>
      <c r="F1120">
        <v>1</v>
      </c>
    </row>
    <row r="1121" spans="2:6" hidden="1" x14ac:dyDescent="0.2">
      <c r="B1121" t="s">
        <v>8221</v>
      </c>
      <c r="C1121">
        <v>1</v>
      </c>
      <c r="E1121" t="s">
        <v>8221</v>
      </c>
      <c r="F1121">
        <v>1</v>
      </c>
    </row>
    <row r="1122" spans="2:6" hidden="1" x14ac:dyDescent="0.2">
      <c r="B1122" t="s">
        <v>8221</v>
      </c>
      <c r="C1122">
        <v>0</v>
      </c>
      <c r="E1122" t="s">
        <v>8221</v>
      </c>
      <c r="F1122">
        <v>1</v>
      </c>
    </row>
    <row r="1123" spans="2:6" hidden="1" x14ac:dyDescent="0.2">
      <c r="B1123" t="s">
        <v>8221</v>
      </c>
      <c r="C1123">
        <v>5</v>
      </c>
      <c r="E1123" t="s">
        <v>8221</v>
      </c>
      <c r="F1123">
        <v>1</v>
      </c>
    </row>
    <row r="1124" spans="2:6" hidden="1" x14ac:dyDescent="0.2">
      <c r="B1124" t="s">
        <v>8221</v>
      </c>
      <c r="C1124">
        <v>0</v>
      </c>
      <c r="E1124" t="s">
        <v>8221</v>
      </c>
      <c r="F1124">
        <v>1</v>
      </c>
    </row>
    <row r="1125" spans="2:6" hidden="1" x14ac:dyDescent="0.2">
      <c r="B1125" t="s">
        <v>8221</v>
      </c>
      <c r="C1125">
        <v>3</v>
      </c>
      <c r="E1125" t="s">
        <v>8221</v>
      </c>
      <c r="F1125">
        <v>1</v>
      </c>
    </row>
    <row r="1126" spans="2:6" hidden="1" x14ac:dyDescent="0.2">
      <c r="B1126" t="s">
        <v>8221</v>
      </c>
      <c r="C1126">
        <v>7</v>
      </c>
      <c r="E1126" t="s">
        <v>8221</v>
      </c>
      <c r="F1126">
        <v>1</v>
      </c>
    </row>
    <row r="1127" spans="2:6" hidden="1" x14ac:dyDescent="0.2">
      <c r="B1127" t="s">
        <v>8221</v>
      </c>
      <c r="C1127">
        <v>0</v>
      </c>
      <c r="E1127" t="s">
        <v>8221</v>
      </c>
      <c r="F1127">
        <v>1</v>
      </c>
    </row>
    <row r="1128" spans="2:6" hidden="1" x14ac:dyDescent="0.2">
      <c r="B1128" t="s">
        <v>8221</v>
      </c>
      <c r="C1128">
        <v>2</v>
      </c>
      <c r="E1128" t="s">
        <v>8221</v>
      </c>
      <c r="F1128">
        <v>1</v>
      </c>
    </row>
    <row r="1129" spans="2:6" hidden="1" x14ac:dyDescent="0.2">
      <c r="B1129" t="s">
        <v>8221</v>
      </c>
      <c r="C1129">
        <v>23</v>
      </c>
      <c r="E1129" t="s">
        <v>8221</v>
      </c>
      <c r="F1129">
        <v>1</v>
      </c>
    </row>
    <row r="1130" spans="2:6" hidden="1" x14ac:dyDescent="0.2">
      <c r="B1130" t="s">
        <v>8221</v>
      </c>
      <c r="C1130">
        <v>1</v>
      </c>
      <c r="E1130" t="s">
        <v>8221</v>
      </c>
      <c r="F1130">
        <v>1</v>
      </c>
    </row>
    <row r="1131" spans="2:6" hidden="1" x14ac:dyDescent="0.2">
      <c r="B1131" t="s">
        <v>8221</v>
      </c>
      <c r="C1131">
        <v>2</v>
      </c>
      <c r="E1131" t="s">
        <v>8221</v>
      </c>
      <c r="F1131">
        <v>1</v>
      </c>
    </row>
    <row r="1132" spans="2:6" hidden="1" x14ac:dyDescent="0.2">
      <c r="B1132" t="s">
        <v>8221</v>
      </c>
      <c r="C1132">
        <v>3</v>
      </c>
      <c r="E1132" t="s">
        <v>8221</v>
      </c>
      <c r="F1132">
        <v>1</v>
      </c>
    </row>
    <row r="1133" spans="2:6" hidden="1" x14ac:dyDescent="0.2">
      <c r="B1133" t="s">
        <v>8221</v>
      </c>
      <c r="C1133">
        <v>0</v>
      </c>
      <c r="E1133" t="s">
        <v>8221</v>
      </c>
      <c r="F1133">
        <v>1</v>
      </c>
    </row>
    <row r="1134" spans="2:6" hidden="1" x14ac:dyDescent="0.2">
      <c r="B1134" t="s">
        <v>8221</v>
      </c>
      <c r="C1134">
        <v>13</v>
      </c>
      <c r="E1134" t="s">
        <v>8221</v>
      </c>
      <c r="F1134">
        <v>1</v>
      </c>
    </row>
    <row r="1135" spans="2:6" hidden="1" x14ac:dyDescent="0.2">
      <c r="B1135" t="s">
        <v>8221</v>
      </c>
      <c r="C1135">
        <v>1</v>
      </c>
      <c r="E1135" t="s">
        <v>8221</v>
      </c>
      <c r="F1135">
        <v>1</v>
      </c>
    </row>
    <row r="1136" spans="2:6" hidden="1" x14ac:dyDescent="0.2">
      <c r="B1136" t="s">
        <v>8221</v>
      </c>
      <c r="C1136">
        <v>1</v>
      </c>
      <c r="E1136" t="s">
        <v>8221</v>
      </c>
      <c r="F1136">
        <v>1</v>
      </c>
    </row>
    <row r="1137" spans="2:6" hidden="1" x14ac:dyDescent="0.2">
      <c r="B1137" t="s">
        <v>8221</v>
      </c>
      <c r="C1137">
        <v>1</v>
      </c>
      <c r="E1137" t="s">
        <v>8221</v>
      </c>
      <c r="F1137">
        <v>1</v>
      </c>
    </row>
    <row r="1138" spans="2:6" hidden="1" x14ac:dyDescent="0.2">
      <c r="B1138" t="s">
        <v>8221</v>
      </c>
      <c r="C1138">
        <v>6</v>
      </c>
      <c r="E1138" t="s">
        <v>8221</v>
      </c>
      <c r="F1138">
        <v>1</v>
      </c>
    </row>
    <row r="1139" spans="2:6" hidden="1" x14ac:dyDescent="0.2">
      <c r="B1139" t="s">
        <v>8221</v>
      </c>
      <c r="C1139">
        <v>39</v>
      </c>
      <c r="E1139" t="s">
        <v>8221</v>
      </c>
      <c r="F1139">
        <v>1</v>
      </c>
    </row>
    <row r="1140" spans="2:6" hidden="1" x14ac:dyDescent="0.2">
      <c r="B1140" t="s">
        <v>8221</v>
      </c>
      <c r="C1140">
        <v>4</v>
      </c>
      <c r="E1140" t="s">
        <v>8221</v>
      </c>
      <c r="F1140">
        <v>1</v>
      </c>
    </row>
    <row r="1141" spans="2:6" hidden="1" x14ac:dyDescent="0.2">
      <c r="B1141" t="s">
        <v>8221</v>
      </c>
      <c r="C1141">
        <v>1</v>
      </c>
      <c r="E1141" t="s">
        <v>8221</v>
      </c>
      <c r="F1141">
        <v>1</v>
      </c>
    </row>
    <row r="1142" spans="2:6" hidden="1" x14ac:dyDescent="0.2">
      <c r="B1142" t="s">
        <v>8221</v>
      </c>
      <c r="C1142">
        <v>0</v>
      </c>
      <c r="E1142" t="s">
        <v>8221</v>
      </c>
      <c r="F1142">
        <v>1</v>
      </c>
    </row>
    <row r="1143" spans="2:6" hidden="1" x14ac:dyDescent="0.2">
      <c r="B1143" t="s">
        <v>8221</v>
      </c>
      <c r="C1143">
        <v>0</v>
      </c>
      <c r="E1143" t="s">
        <v>8221</v>
      </c>
      <c r="F1143">
        <v>1</v>
      </c>
    </row>
    <row r="1144" spans="2:6" hidden="1" x14ac:dyDescent="0.2">
      <c r="B1144" t="s">
        <v>8221</v>
      </c>
      <c r="C1144">
        <v>0</v>
      </c>
      <c r="E1144" t="s">
        <v>8221</v>
      </c>
      <c r="F1144">
        <v>1</v>
      </c>
    </row>
    <row r="1145" spans="2:6" hidden="1" x14ac:dyDescent="0.2">
      <c r="B1145" t="s">
        <v>8221</v>
      </c>
      <c r="C1145">
        <v>8</v>
      </c>
      <c r="E1145" t="s">
        <v>8221</v>
      </c>
      <c r="F1145">
        <v>1</v>
      </c>
    </row>
    <row r="1146" spans="2:6" hidden="1" x14ac:dyDescent="0.2">
      <c r="B1146" t="s">
        <v>8221</v>
      </c>
      <c r="C1146">
        <v>0</v>
      </c>
      <c r="E1146" t="s">
        <v>8221</v>
      </c>
      <c r="F1146">
        <v>1</v>
      </c>
    </row>
    <row r="1147" spans="2:6" hidden="1" x14ac:dyDescent="0.2">
      <c r="B1147" t="s">
        <v>8221</v>
      </c>
      <c r="C1147">
        <v>1</v>
      </c>
      <c r="E1147" t="s">
        <v>8221</v>
      </c>
      <c r="F1147">
        <v>1</v>
      </c>
    </row>
    <row r="1148" spans="2:6" hidden="1" x14ac:dyDescent="0.2">
      <c r="B1148" t="s">
        <v>8221</v>
      </c>
      <c r="C1148">
        <v>12</v>
      </c>
      <c r="E1148" t="s">
        <v>8221</v>
      </c>
      <c r="F1148">
        <v>1</v>
      </c>
    </row>
    <row r="1149" spans="2:6" hidden="1" x14ac:dyDescent="0.2">
      <c r="B1149" t="s">
        <v>8221</v>
      </c>
      <c r="C1149">
        <v>0</v>
      </c>
      <c r="E1149" t="s">
        <v>8221</v>
      </c>
      <c r="F1149">
        <v>1</v>
      </c>
    </row>
    <row r="1150" spans="2:6" hidden="1" x14ac:dyDescent="0.2">
      <c r="B1150" t="s">
        <v>8221</v>
      </c>
      <c r="C1150">
        <v>3</v>
      </c>
      <c r="E1150" t="s">
        <v>8221</v>
      </c>
      <c r="F1150">
        <v>1</v>
      </c>
    </row>
    <row r="1151" spans="2:6" hidden="1" x14ac:dyDescent="0.2">
      <c r="B1151" t="s">
        <v>8221</v>
      </c>
      <c r="C1151">
        <v>2</v>
      </c>
      <c r="E1151" t="s">
        <v>8221</v>
      </c>
      <c r="F1151">
        <v>1</v>
      </c>
    </row>
    <row r="1152" spans="2:6" hidden="1" x14ac:dyDescent="0.2">
      <c r="B1152" t="s">
        <v>8221</v>
      </c>
      <c r="C1152">
        <v>6</v>
      </c>
      <c r="E1152" t="s">
        <v>8221</v>
      </c>
      <c r="F1152">
        <v>1</v>
      </c>
    </row>
    <row r="1153" spans="2:6" hidden="1" x14ac:dyDescent="0.2">
      <c r="B1153" t="s">
        <v>8221</v>
      </c>
      <c r="C1153">
        <v>0</v>
      </c>
      <c r="E1153" t="s">
        <v>8221</v>
      </c>
      <c r="F1153">
        <v>1</v>
      </c>
    </row>
    <row r="1154" spans="2:6" hidden="1" x14ac:dyDescent="0.2">
      <c r="B1154" t="s">
        <v>8221</v>
      </c>
      <c r="C1154">
        <v>15</v>
      </c>
      <c r="E1154" t="s">
        <v>8221</v>
      </c>
      <c r="F1154">
        <v>1</v>
      </c>
    </row>
    <row r="1155" spans="2:6" hidden="1" x14ac:dyDescent="0.2">
      <c r="B1155" t="s">
        <v>8221</v>
      </c>
      <c r="C1155">
        <v>1</v>
      </c>
      <c r="E1155" t="s">
        <v>8221</v>
      </c>
      <c r="F1155">
        <v>1</v>
      </c>
    </row>
    <row r="1156" spans="2:6" hidden="1" x14ac:dyDescent="0.2">
      <c r="B1156" t="s">
        <v>8221</v>
      </c>
      <c r="C1156">
        <v>3</v>
      </c>
      <c r="E1156" t="s">
        <v>8221</v>
      </c>
      <c r="F1156">
        <v>1</v>
      </c>
    </row>
    <row r="1157" spans="2:6" hidden="1" x14ac:dyDescent="0.2">
      <c r="B1157" t="s">
        <v>8221</v>
      </c>
      <c r="C1157">
        <v>8</v>
      </c>
      <c r="E1157" t="s">
        <v>8221</v>
      </c>
      <c r="F1157">
        <v>1</v>
      </c>
    </row>
    <row r="1158" spans="2:6" hidden="1" x14ac:dyDescent="0.2">
      <c r="B1158" t="s">
        <v>8221</v>
      </c>
      <c r="C1158">
        <v>0</v>
      </c>
      <c r="E1158" t="s">
        <v>8221</v>
      </c>
      <c r="F1158">
        <v>1</v>
      </c>
    </row>
    <row r="1159" spans="2:6" hidden="1" x14ac:dyDescent="0.2">
      <c r="B1159" t="s">
        <v>8221</v>
      </c>
      <c r="C1159">
        <v>3</v>
      </c>
      <c r="E1159" t="s">
        <v>8221</v>
      </c>
      <c r="F1159">
        <v>1</v>
      </c>
    </row>
    <row r="1160" spans="2:6" hidden="1" x14ac:dyDescent="0.2">
      <c r="B1160" t="s">
        <v>8221</v>
      </c>
      <c r="C1160">
        <v>3</v>
      </c>
      <c r="E1160" t="s">
        <v>8221</v>
      </c>
      <c r="F1160">
        <v>1</v>
      </c>
    </row>
    <row r="1161" spans="2:6" hidden="1" x14ac:dyDescent="0.2">
      <c r="B1161" t="s">
        <v>8221</v>
      </c>
      <c r="C1161">
        <v>0</v>
      </c>
      <c r="E1161" t="s">
        <v>8221</v>
      </c>
      <c r="F1161">
        <v>1</v>
      </c>
    </row>
    <row r="1162" spans="2:6" hidden="1" x14ac:dyDescent="0.2">
      <c r="B1162" t="s">
        <v>8221</v>
      </c>
      <c r="C1162">
        <v>19</v>
      </c>
      <c r="E1162" t="s">
        <v>8221</v>
      </c>
      <c r="F1162">
        <v>1</v>
      </c>
    </row>
    <row r="1163" spans="2:6" hidden="1" x14ac:dyDescent="0.2">
      <c r="B1163" t="s">
        <v>8221</v>
      </c>
      <c r="C1163">
        <v>0</v>
      </c>
      <c r="E1163" t="s">
        <v>8221</v>
      </c>
      <c r="F1163">
        <v>1</v>
      </c>
    </row>
    <row r="1164" spans="2:6" hidden="1" x14ac:dyDescent="0.2">
      <c r="B1164" t="s">
        <v>8221</v>
      </c>
      <c r="C1164">
        <v>2</v>
      </c>
      <c r="E1164" t="s">
        <v>8221</v>
      </c>
      <c r="F1164">
        <v>1</v>
      </c>
    </row>
    <row r="1165" spans="2:6" hidden="1" x14ac:dyDescent="0.2">
      <c r="B1165" t="s">
        <v>8221</v>
      </c>
      <c r="C1165">
        <v>0</v>
      </c>
      <c r="E1165" t="s">
        <v>8221</v>
      </c>
      <c r="F1165">
        <v>1</v>
      </c>
    </row>
    <row r="1166" spans="2:6" hidden="1" x14ac:dyDescent="0.2">
      <c r="B1166" t="s">
        <v>8221</v>
      </c>
      <c r="C1166">
        <v>0</v>
      </c>
      <c r="E1166" t="s">
        <v>8221</v>
      </c>
      <c r="F1166">
        <v>1</v>
      </c>
    </row>
    <row r="1167" spans="2:6" hidden="1" x14ac:dyDescent="0.2">
      <c r="B1167" t="s">
        <v>8221</v>
      </c>
      <c r="C1167">
        <v>25</v>
      </c>
      <c r="E1167" t="s">
        <v>8221</v>
      </c>
      <c r="F1167">
        <v>1</v>
      </c>
    </row>
    <row r="1168" spans="2:6" hidden="1" x14ac:dyDescent="0.2">
      <c r="B1168" t="s">
        <v>8221</v>
      </c>
      <c r="C1168">
        <v>8</v>
      </c>
      <c r="E1168" t="s">
        <v>8221</v>
      </c>
      <c r="F1168">
        <v>1</v>
      </c>
    </row>
    <row r="1169" spans="2:6" hidden="1" x14ac:dyDescent="0.2">
      <c r="B1169" t="s">
        <v>8221</v>
      </c>
      <c r="C1169">
        <v>16</v>
      </c>
      <c r="E1169" t="s">
        <v>8221</v>
      </c>
      <c r="F1169">
        <v>1</v>
      </c>
    </row>
    <row r="1170" spans="2:6" hidden="1" x14ac:dyDescent="0.2">
      <c r="B1170" t="s">
        <v>8221</v>
      </c>
      <c r="C1170">
        <v>3</v>
      </c>
      <c r="E1170" t="s">
        <v>8221</v>
      </c>
      <c r="F1170">
        <v>1</v>
      </c>
    </row>
    <row r="1171" spans="2:6" hidden="1" x14ac:dyDescent="0.2">
      <c r="B1171" t="s">
        <v>8221</v>
      </c>
      <c r="C1171">
        <v>3</v>
      </c>
      <c r="E1171" t="s">
        <v>8221</v>
      </c>
      <c r="F1171">
        <v>1</v>
      </c>
    </row>
    <row r="1172" spans="2:6" hidden="1" x14ac:dyDescent="0.2">
      <c r="B1172" t="s">
        <v>8221</v>
      </c>
      <c r="C1172">
        <v>2</v>
      </c>
      <c r="E1172" t="s">
        <v>8221</v>
      </c>
      <c r="F1172">
        <v>1</v>
      </c>
    </row>
    <row r="1173" spans="2:6" hidden="1" x14ac:dyDescent="0.2">
      <c r="B1173" t="s">
        <v>8221</v>
      </c>
      <c r="C1173">
        <v>1</v>
      </c>
      <c r="E1173" t="s">
        <v>8221</v>
      </c>
      <c r="F1173">
        <v>1</v>
      </c>
    </row>
    <row r="1174" spans="2:6" hidden="1" x14ac:dyDescent="0.2">
      <c r="B1174" t="s">
        <v>8221</v>
      </c>
      <c r="C1174">
        <v>0</v>
      </c>
      <c r="E1174" t="s">
        <v>8221</v>
      </c>
      <c r="F1174">
        <v>1</v>
      </c>
    </row>
    <row r="1175" spans="2:6" hidden="1" x14ac:dyDescent="0.2">
      <c r="B1175" t="s">
        <v>8221</v>
      </c>
      <c r="C1175">
        <v>1</v>
      </c>
      <c r="E1175" t="s">
        <v>8221</v>
      </c>
      <c r="F1175">
        <v>1</v>
      </c>
    </row>
    <row r="1176" spans="2:6" hidden="1" x14ac:dyDescent="0.2">
      <c r="B1176" t="s">
        <v>8221</v>
      </c>
      <c r="C1176">
        <v>19</v>
      </c>
      <c r="E1176" t="s">
        <v>8221</v>
      </c>
      <c r="F1176">
        <v>1</v>
      </c>
    </row>
    <row r="1177" spans="2:6" hidden="1" x14ac:dyDescent="0.2">
      <c r="B1177" t="s">
        <v>8221</v>
      </c>
      <c r="C1177">
        <v>9</v>
      </c>
      <c r="E1177" t="s">
        <v>8221</v>
      </c>
      <c r="F1177">
        <v>1</v>
      </c>
    </row>
    <row r="1178" spans="2:6" hidden="1" x14ac:dyDescent="0.2">
      <c r="B1178" t="s">
        <v>8221</v>
      </c>
      <c r="C1178">
        <v>1</v>
      </c>
      <c r="E1178" t="s">
        <v>8221</v>
      </c>
      <c r="F1178">
        <v>1</v>
      </c>
    </row>
    <row r="1179" spans="2:6" hidden="1" x14ac:dyDescent="0.2">
      <c r="B1179" t="s">
        <v>8221</v>
      </c>
      <c r="C1179">
        <v>0</v>
      </c>
      <c r="E1179" t="s">
        <v>8221</v>
      </c>
      <c r="F1179">
        <v>1</v>
      </c>
    </row>
    <row r="1180" spans="2:6" hidden="1" x14ac:dyDescent="0.2">
      <c r="B1180" t="s">
        <v>8221</v>
      </c>
      <c r="C1180">
        <v>1</v>
      </c>
      <c r="E1180" t="s">
        <v>8221</v>
      </c>
      <c r="F1180">
        <v>1</v>
      </c>
    </row>
    <row r="1181" spans="2:6" hidden="1" x14ac:dyDescent="0.2">
      <c r="B1181" t="s">
        <v>8221</v>
      </c>
      <c r="C1181">
        <v>5</v>
      </c>
      <c r="E1181" t="s">
        <v>8221</v>
      </c>
      <c r="F1181">
        <v>1</v>
      </c>
    </row>
    <row r="1182" spans="2:6" hidden="1" x14ac:dyDescent="0.2">
      <c r="B1182" t="s">
        <v>8221</v>
      </c>
      <c r="C1182">
        <v>85</v>
      </c>
      <c r="E1182" t="s">
        <v>8221</v>
      </c>
      <c r="F1182">
        <v>1</v>
      </c>
    </row>
    <row r="1183" spans="2:6" hidden="1" x14ac:dyDescent="0.2">
      <c r="B1183" t="s">
        <v>8221</v>
      </c>
      <c r="C1183">
        <v>3</v>
      </c>
      <c r="E1183" t="s">
        <v>8221</v>
      </c>
      <c r="F1183">
        <v>1</v>
      </c>
    </row>
    <row r="1184" spans="2:6" hidden="1" x14ac:dyDescent="0.2">
      <c r="B1184" t="s">
        <v>8221</v>
      </c>
      <c r="C1184">
        <v>4</v>
      </c>
      <c r="E1184" t="s">
        <v>8221</v>
      </c>
      <c r="F1184">
        <v>1</v>
      </c>
    </row>
    <row r="1185" spans="2:6" hidden="1" x14ac:dyDescent="0.2">
      <c r="B1185" t="s">
        <v>8221</v>
      </c>
      <c r="C1185">
        <v>3</v>
      </c>
      <c r="E1185" t="s">
        <v>8221</v>
      </c>
      <c r="F1185">
        <v>1</v>
      </c>
    </row>
    <row r="1186" spans="2:6" x14ac:dyDescent="0.2">
      <c r="B1186" t="s">
        <v>8219</v>
      </c>
      <c r="C1186">
        <v>163</v>
      </c>
      <c r="E1186" t="s">
        <v>8221</v>
      </c>
      <c r="F1186">
        <v>1</v>
      </c>
    </row>
    <row r="1187" spans="2:6" x14ac:dyDescent="0.2">
      <c r="B1187" t="s">
        <v>8219</v>
      </c>
      <c r="C1187">
        <v>163</v>
      </c>
      <c r="E1187" t="s">
        <v>8221</v>
      </c>
      <c r="F1187">
        <v>1</v>
      </c>
    </row>
    <row r="1188" spans="2:6" x14ac:dyDescent="0.2">
      <c r="B1188" t="s">
        <v>8219</v>
      </c>
      <c r="C1188">
        <v>162</v>
      </c>
      <c r="E1188" t="s">
        <v>8221</v>
      </c>
      <c r="F1188">
        <v>1</v>
      </c>
    </row>
    <row r="1189" spans="2:6" x14ac:dyDescent="0.2">
      <c r="B1189" t="s">
        <v>8219</v>
      </c>
      <c r="C1189">
        <v>162</v>
      </c>
      <c r="E1189" t="s">
        <v>8221</v>
      </c>
      <c r="F1189">
        <v>1</v>
      </c>
    </row>
    <row r="1190" spans="2:6" x14ac:dyDescent="0.2">
      <c r="B1190" t="s">
        <v>8219</v>
      </c>
      <c r="C1190">
        <v>160</v>
      </c>
      <c r="E1190" t="s">
        <v>8221</v>
      </c>
      <c r="F1190">
        <v>1</v>
      </c>
    </row>
    <row r="1191" spans="2:6" x14ac:dyDescent="0.2">
      <c r="B1191" t="s">
        <v>8219</v>
      </c>
      <c r="C1191">
        <v>160</v>
      </c>
      <c r="E1191" t="s">
        <v>8221</v>
      </c>
      <c r="F1191">
        <v>1</v>
      </c>
    </row>
    <row r="1192" spans="2:6" x14ac:dyDescent="0.2">
      <c r="B1192" t="s">
        <v>8219</v>
      </c>
      <c r="C1192">
        <v>159</v>
      </c>
      <c r="E1192" t="s">
        <v>8221</v>
      </c>
      <c r="F1192">
        <v>1</v>
      </c>
    </row>
    <row r="1193" spans="2:6" x14ac:dyDescent="0.2">
      <c r="B1193" t="s">
        <v>8219</v>
      </c>
      <c r="C1193">
        <v>159</v>
      </c>
      <c r="E1193" t="s">
        <v>8221</v>
      </c>
      <c r="F1193">
        <v>1</v>
      </c>
    </row>
    <row r="1194" spans="2:6" x14ac:dyDescent="0.2">
      <c r="B1194" t="s">
        <v>8219</v>
      </c>
      <c r="C1194">
        <v>159</v>
      </c>
      <c r="E1194" t="s">
        <v>8221</v>
      </c>
      <c r="F1194">
        <v>1</v>
      </c>
    </row>
    <row r="1195" spans="2:6" x14ac:dyDescent="0.2">
      <c r="B1195" t="s">
        <v>8219</v>
      </c>
      <c r="C1195">
        <v>159</v>
      </c>
      <c r="E1195" t="s">
        <v>8221</v>
      </c>
      <c r="F1195">
        <v>1</v>
      </c>
    </row>
    <row r="1196" spans="2:6" x14ac:dyDescent="0.2">
      <c r="B1196" t="s">
        <v>8219</v>
      </c>
      <c r="C1196">
        <v>159</v>
      </c>
      <c r="E1196" t="s">
        <v>8221</v>
      </c>
      <c r="F1196">
        <v>1</v>
      </c>
    </row>
    <row r="1197" spans="2:6" x14ac:dyDescent="0.2">
      <c r="B1197" t="s">
        <v>8219</v>
      </c>
      <c r="C1197">
        <v>159</v>
      </c>
      <c r="E1197" t="s">
        <v>8221</v>
      </c>
      <c r="F1197">
        <v>1</v>
      </c>
    </row>
    <row r="1198" spans="2:6" x14ac:dyDescent="0.2">
      <c r="B1198" t="s">
        <v>8219</v>
      </c>
      <c r="C1198">
        <v>159</v>
      </c>
      <c r="E1198" t="s">
        <v>8221</v>
      </c>
      <c r="F1198">
        <v>1</v>
      </c>
    </row>
    <row r="1199" spans="2:6" x14ac:dyDescent="0.2">
      <c r="B1199" t="s">
        <v>8219</v>
      </c>
      <c r="C1199">
        <v>158</v>
      </c>
      <c r="E1199" t="s">
        <v>8221</v>
      </c>
      <c r="F1199">
        <v>1</v>
      </c>
    </row>
    <row r="1200" spans="2:6" x14ac:dyDescent="0.2">
      <c r="B1200" t="s">
        <v>8219</v>
      </c>
      <c r="C1200">
        <v>158</v>
      </c>
      <c r="E1200" t="s">
        <v>8221</v>
      </c>
      <c r="F1200">
        <v>1</v>
      </c>
    </row>
    <row r="1201" spans="2:6" x14ac:dyDescent="0.2">
      <c r="B1201" t="s">
        <v>8219</v>
      </c>
      <c r="C1201">
        <v>158</v>
      </c>
      <c r="E1201" t="s">
        <v>8221</v>
      </c>
      <c r="F1201">
        <v>1</v>
      </c>
    </row>
    <row r="1202" spans="2:6" x14ac:dyDescent="0.2">
      <c r="B1202" t="s">
        <v>8219</v>
      </c>
      <c r="C1202">
        <v>158</v>
      </c>
      <c r="E1202" t="s">
        <v>8221</v>
      </c>
      <c r="F1202">
        <v>1</v>
      </c>
    </row>
    <row r="1203" spans="2:6" x14ac:dyDescent="0.2">
      <c r="B1203" t="s">
        <v>8219</v>
      </c>
      <c r="C1203">
        <v>158</v>
      </c>
      <c r="E1203" t="s">
        <v>8221</v>
      </c>
      <c r="F1203">
        <v>1</v>
      </c>
    </row>
    <row r="1204" spans="2:6" x14ac:dyDescent="0.2">
      <c r="B1204" t="s">
        <v>8219</v>
      </c>
      <c r="C1204">
        <v>158</v>
      </c>
      <c r="E1204" t="s">
        <v>8221</v>
      </c>
      <c r="F1204">
        <v>1</v>
      </c>
    </row>
    <row r="1205" spans="2:6" x14ac:dyDescent="0.2">
      <c r="B1205" t="s">
        <v>8219</v>
      </c>
      <c r="C1205">
        <v>157</v>
      </c>
      <c r="E1205" t="s">
        <v>8221</v>
      </c>
      <c r="F1205">
        <v>1</v>
      </c>
    </row>
    <row r="1206" spans="2:6" x14ac:dyDescent="0.2">
      <c r="B1206" t="s">
        <v>8219</v>
      </c>
      <c r="C1206">
        <v>157</v>
      </c>
      <c r="E1206" t="s">
        <v>8221</v>
      </c>
      <c r="F1206">
        <v>1</v>
      </c>
    </row>
    <row r="1207" spans="2:6" x14ac:dyDescent="0.2">
      <c r="B1207" t="s">
        <v>8219</v>
      </c>
      <c r="C1207">
        <v>156</v>
      </c>
      <c r="E1207" t="s">
        <v>8221</v>
      </c>
      <c r="F1207">
        <v>1</v>
      </c>
    </row>
    <row r="1208" spans="2:6" x14ac:dyDescent="0.2">
      <c r="B1208" t="s">
        <v>8219</v>
      </c>
      <c r="C1208">
        <v>156</v>
      </c>
      <c r="E1208" t="s">
        <v>8221</v>
      </c>
      <c r="F1208">
        <v>1</v>
      </c>
    </row>
    <row r="1209" spans="2:6" x14ac:dyDescent="0.2">
      <c r="B1209" t="s">
        <v>8219</v>
      </c>
      <c r="C1209">
        <v>154</v>
      </c>
      <c r="E1209" t="s">
        <v>8221</v>
      </c>
      <c r="F1209">
        <v>1</v>
      </c>
    </row>
    <row r="1210" spans="2:6" x14ac:dyDescent="0.2">
      <c r="B1210" t="s">
        <v>8219</v>
      </c>
      <c r="C1210">
        <v>153</v>
      </c>
      <c r="E1210" t="s">
        <v>8221</v>
      </c>
      <c r="F1210">
        <v>1</v>
      </c>
    </row>
    <row r="1211" spans="2:6" x14ac:dyDescent="0.2">
      <c r="B1211" t="s">
        <v>8219</v>
      </c>
      <c r="C1211">
        <v>152</v>
      </c>
      <c r="E1211" t="s">
        <v>8221</v>
      </c>
      <c r="F1211">
        <v>1</v>
      </c>
    </row>
    <row r="1212" spans="2:6" x14ac:dyDescent="0.2">
      <c r="B1212" t="s">
        <v>8219</v>
      </c>
      <c r="C1212">
        <v>151</v>
      </c>
      <c r="E1212" t="s">
        <v>8221</v>
      </c>
      <c r="F1212">
        <v>1</v>
      </c>
    </row>
    <row r="1213" spans="2:6" x14ac:dyDescent="0.2">
      <c r="B1213" t="s">
        <v>8219</v>
      </c>
      <c r="C1213">
        <v>151</v>
      </c>
      <c r="E1213" t="s">
        <v>8221</v>
      </c>
      <c r="F1213">
        <v>1</v>
      </c>
    </row>
    <row r="1214" spans="2:6" x14ac:dyDescent="0.2">
      <c r="B1214" t="s">
        <v>8219</v>
      </c>
      <c r="C1214">
        <v>151</v>
      </c>
      <c r="E1214" t="s">
        <v>8221</v>
      </c>
      <c r="F1214">
        <v>1</v>
      </c>
    </row>
    <row r="1215" spans="2:6" x14ac:dyDescent="0.2">
      <c r="B1215" t="s">
        <v>8219</v>
      </c>
      <c r="C1215">
        <v>150</v>
      </c>
      <c r="E1215" t="s">
        <v>8221</v>
      </c>
      <c r="F1215">
        <v>1</v>
      </c>
    </row>
    <row r="1216" spans="2:6" x14ac:dyDescent="0.2">
      <c r="B1216" t="s">
        <v>8219</v>
      </c>
      <c r="C1216">
        <v>150</v>
      </c>
      <c r="E1216" t="s">
        <v>8221</v>
      </c>
      <c r="F1216">
        <v>1</v>
      </c>
    </row>
    <row r="1217" spans="2:6" x14ac:dyDescent="0.2">
      <c r="B1217" t="s">
        <v>8219</v>
      </c>
      <c r="C1217">
        <v>150</v>
      </c>
      <c r="E1217" t="s">
        <v>8221</v>
      </c>
      <c r="F1217">
        <v>1</v>
      </c>
    </row>
    <row r="1218" spans="2:6" x14ac:dyDescent="0.2">
      <c r="B1218" t="s">
        <v>8219</v>
      </c>
      <c r="C1218">
        <v>150</v>
      </c>
      <c r="E1218" t="s">
        <v>8221</v>
      </c>
      <c r="F1218">
        <v>1</v>
      </c>
    </row>
    <row r="1219" spans="2:6" x14ac:dyDescent="0.2">
      <c r="B1219" t="s">
        <v>8219</v>
      </c>
      <c r="C1219">
        <v>150</v>
      </c>
      <c r="E1219" t="s">
        <v>8221</v>
      </c>
      <c r="F1219">
        <v>1</v>
      </c>
    </row>
    <row r="1220" spans="2:6" x14ac:dyDescent="0.2">
      <c r="B1220" t="s">
        <v>8219</v>
      </c>
      <c r="C1220">
        <v>149</v>
      </c>
      <c r="E1220" t="s">
        <v>8221</v>
      </c>
      <c r="F1220">
        <v>1</v>
      </c>
    </row>
    <row r="1221" spans="2:6" x14ac:dyDescent="0.2">
      <c r="B1221" t="s">
        <v>8219</v>
      </c>
      <c r="C1221">
        <v>149</v>
      </c>
      <c r="E1221" t="s">
        <v>8221</v>
      </c>
      <c r="F1221">
        <v>1</v>
      </c>
    </row>
    <row r="1222" spans="2:6" x14ac:dyDescent="0.2">
      <c r="B1222" t="s">
        <v>8219</v>
      </c>
      <c r="C1222">
        <v>149</v>
      </c>
      <c r="E1222" t="s">
        <v>8221</v>
      </c>
      <c r="F1222">
        <v>1</v>
      </c>
    </row>
    <row r="1223" spans="2:6" x14ac:dyDescent="0.2">
      <c r="B1223" t="s">
        <v>8219</v>
      </c>
      <c r="C1223">
        <v>149</v>
      </c>
      <c r="E1223" t="s">
        <v>8221</v>
      </c>
      <c r="F1223">
        <v>1</v>
      </c>
    </row>
    <row r="1224" spans="2:6" x14ac:dyDescent="0.2">
      <c r="B1224" t="s">
        <v>8219</v>
      </c>
      <c r="C1224">
        <v>148</v>
      </c>
      <c r="E1224" t="s">
        <v>8221</v>
      </c>
      <c r="F1224">
        <v>1</v>
      </c>
    </row>
    <row r="1225" spans="2:6" x14ac:dyDescent="0.2">
      <c r="B1225" t="s">
        <v>8219</v>
      </c>
      <c r="C1225">
        <v>148</v>
      </c>
      <c r="E1225" t="s">
        <v>8221</v>
      </c>
      <c r="F1225">
        <v>1</v>
      </c>
    </row>
    <row r="1226" spans="2:6" hidden="1" x14ac:dyDescent="0.2">
      <c r="B1226" t="s">
        <v>8220</v>
      </c>
      <c r="C1226">
        <v>18</v>
      </c>
      <c r="E1226" t="s">
        <v>8221</v>
      </c>
      <c r="F1226">
        <v>1</v>
      </c>
    </row>
    <row r="1227" spans="2:6" hidden="1" x14ac:dyDescent="0.2">
      <c r="B1227" t="s">
        <v>8220</v>
      </c>
      <c r="C1227">
        <v>3</v>
      </c>
      <c r="E1227" t="s">
        <v>8221</v>
      </c>
      <c r="F1227">
        <v>1</v>
      </c>
    </row>
    <row r="1228" spans="2:6" hidden="1" x14ac:dyDescent="0.2">
      <c r="B1228" t="s">
        <v>8220</v>
      </c>
      <c r="C1228">
        <v>40</v>
      </c>
      <c r="E1228" t="s">
        <v>8221</v>
      </c>
      <c r="F1228">
        <v>1</v>
      </c>
    </row>
    <row r="1229" spans="2:6" hidden="1" x14ac:dyDescent="0.2">
      <c r="B1229" t="s">
        <v>8220</v>
      </c>
      <c r="C1229">
        <v>0</v>
      </c>
      <c r="E1229" t="s">
        <v>8221</v>
      </c>
      <c r="F1229">
        <v>1</v>
      </c>
    </row>
    <row r="1230" spans="2:6" hidden="1" x14ac:dyDescent="0.2">
      <c r="B1230" t="s">
        <v>8220</v>
      </c>
      <c r="C1230">
        <v>24</v>
      </c>
      <c r="E1230" t="s">
        <v>8221</v>
      </c>
      <c r="F1230">
        <v>1</v>
      </c>
    </row>
    <row r="1231" spans="2:6" hidden="1" x14ac:dyDescent="0.2">
      <c r="B1231" t="s">
        <v>8220</v>
      </c>
      <c r="C1231">
        <v>1</v>
      </c>
      <c r="E1231" t="s">
        <v>8221</v>
      </c>
      <c r="F1231">
        <v>1</v>
      </c>
    </row>
    <row r="1232" spans="2:6" hidden="1" x14ac:dyDescent="0.2">
      <c r="B1232" t="s">
        <v>8220</v>
      </c>
      <c r="C1232">
        <v>0</v>
      </c>
      <c r="E1232" t="s">
        <v>8221</v>
      </c>
      <c r="F1232">
        <v>1</v>
      </c>
    </row>
    <row r="1233" spans="2:6" hidden="1" x14ac:dyDescent="0.2">
      <c r="B1233" t="s">
        <v>8220</v>
      </c>
      <c r="C1233">
        <v>0</v>
      </c>
      <c r="E1233" t="s">
        <v>8221</v>
      </c>
      <c r="F1233">
        <v>1</v>
      </c>
    </row>
    <row r="1234" spans="2:6" hidden="1" x14ac:dyDescent="0.2">
      <c r="B1234" t="s">
        <v>8220</v>
      </c>
      <c r="C1234">
        <v>1</v>
      </c>
      <c r="E1234" t="s">
        <v>8221</v>
      </c>
      <c r="F1234">
        <v>1</v>
      </c>
    </row>
    <row r="1235" spans="2:6" hidden="1" x14ac:dyDescent="0.2">
      <c r="B1235" t="s">
        <v>8220</v>
      </c>
      <c r="C1235">
        <v>6</v>
      </c>
      <c r="E1235" t="s">
        <v>8221</v>
      </c>
      <c r="F1235">
        <v>1</v>
      </c>
    </row>
    <row r="1236" spans="2:6" hidden="1" x14ac:dyDescent="0.2">
      <c r="B1236" t="s">
        <v>8220</v>
      </c>
      <c r="C1236">
        <v>0</v>
      </c>
      <c r="E1236" t="s">
        <v>8221</v>
      </c>
      <c r="F1236">
        <v>1</v>
      </c>
    </row>
    <row r="1237" spans="2:6" hidden="1" x14ac:dyDescent="0.2">
      <c r="B1237" t="s">
        <v>8220</v>
      </c>
      <c r="C1237">
        <v>6</v>
      </c>
      <c r="E1237" t="s">
        <v>8221</v>
      </c>
      <c r="F1237">
        <v>1</v>
      </c>
    </row>
    <row r="1238" spans="2:6" hidden="1" x14ac:dyDescent="0.2">
      <c r="B1238" t="s">
        <v>8220</v>
      </c>
      <c r="C1238">
        <v>0</v>
      </c>
      <c r="E1238" t="s">
        <v>8221</v>
      </c>
      <c r="F1238">
        <v>1</v>
      </c>
    </row>
    <row r="1239" spans="2:6" hidden="1" x14ac:dyDescent="0.2">
      <c r="B1239" t="s">
        <v>8220</v>
      </c>
      <c r="C1239">
        <v>0</v>
      </c>
      <c r="E1239" t="s">
        <v>8221</v>
      </c>
      <c r="F1239">
        <v>1</v>
      </c>
    </row>
    <row r="1240" spans="2:6" hidden="1" x14ac:dyDescent="0.2">
      <c r="B1240" t="s">
        <v>8220</v>
      </c>
      <c r="C1240">
        <v>3</v>
      </c>
      <c r="E1240" t="s">
        <v>8221</v>
      </c>
      <c r="F1240">
        <v>1</v>
      </c>
    </row>
    <row r="1241" spans="2:6" hidden="1" x14ac:dyDescent="0.2">
      <c r="B1241" t="s">
        <v>8220</v>
      </c>
      <c r="C1241">
        <v>0</v>
      </c>
      <c r="E1241" t="s">
        <v>8221</v>
      </c>
      <c r="F1241">
        <v>1</v>
      </c>
    </row>
    <row r="1242" spans="2:6" hidden="1" x14ac:dyDescent="0.2">
      <c r="B1242" t="s">
        <v>8220</v>
      </c>
      <c r="C1242">
        <v>8</v>
      </c>
      <c r="E1242" t="s">
        <v>8221</v>
      </c>
      <c r="F1242">
        <v>1</v>
      </c>
    </row>
    <row r="1243" spans="2:6" hidden="1" x14ac:dyDescent="0.2">
      <c r="B1243" t="s">
        <v>8220</v>
      </c>
      <c r="C1243">
        <v>34</v>
      </c>
      <c r="E1243" t="s">
        <v>8221</v>
      </c>
      <c r="F1243">
        <v>1</v>
      </c>
    </row>
    <row r="1244" spans="2:6" hidden="1" x14ac:dyDescent="0.2">
      <c r="B1244" t="s">
        <v>8220</v>
      </c>
      <c r="C1244">
        <v>1</v>
      </c>
      <c r="E1244" t="s">
        <v>8221</v>
      </c>
      <c r="F1244">
        <v>1</v>
      </c>
    </row>
    <row r="1245" spans="2:6" hidden="1" x14ac:dyDescent="0.2">
      <c r="B1245" t="s">
        <v>8220</v>
      </c>
      <c r="C1245">
        <v>38</v>
      </c>
      <c r="E1245" t="s">
        <v>8221</v>
      </c>
      <c r="F1245">
        <v>0</v>
      </c>
    </row>
    <row r="1246" spans="2:6" x14ac:dyDescent="0.2">
      <c r="B1246" t="s">
        <v>8219</v>
      </c>
      <c r="C1246">
        <v>147</v>
      </c>
      <c r="E1246" t="s">
        <v>8221</v>
      </c>
      <c r="F1246">
        <v>0</v>
      </c>
    </row>
    <row r="1247" spans="2:6" x14ac:dyDescent="0.2">
      <c r="B1247" t="s">
        <v>8219</v>
      </c>
      <c r="C1247">
        <v>147</v>
      </c>
      <c r="E1247" t="s">
        <v>8221</v>
      </c>
      <c r="F1247">
        <v>0</v>
      </c>
    </row>
    <row r="1248" spans="2:6" x14ac:dyDescent="0.2">
      <c r="B1248" t="s">
        <v>8219</v>
      </c>
      <c r="C1248">
        <v>147</v>
      </c>
      <c r="E1248" t="s">
        <v>8221</v>
      </c>
      <c r="F1248">
        <v>0</v>
      </c>
    </row>
    <row r="1249" spans="2:6" x14ac:dyDescent="0.2">
      <c r="B1249" t="s">
        <v>8219</v>
      </c>
      <c r="C1249">
        <v>147</v>
      </c>
      <c r="E1249" t="s">
        <v>8221</v>
      </c>
      <c r="F1249">
        <v>0</v>
      </c>
    </row>
    <row r="1250" spans="2:6" x14ac:dyDescent="0.2">
      <c r="B1250" t="s">
        <v>8219</v>
      </c>
      <c r="C1250">
        <v>147</v>
      </c>
      <c r="E1250" t="s">
        <v>8221</v>
      </c>
      <c r="F1250">
        <v>0</v>
      </c>
    </row>
    <row r="1251" spans="2:6" x14ac:dyDescent="0.2">
      <c r="B1251" t="s">
        <v>8219</v>
      </c>
      <c r="C1251">
        <v>147</v>
      </c>
      <c r="E1251" t="s">
        <v>8221</v>
      </c>
      <c r="F1251">
        <v>0</v>
      </c>
    </row>
    <row r="1252" spans="2:6" x14ac:dyDescent="0.2">
      <c r="B1252" t="s">
        <v>8219</v>
      </c>
      <c r="C1252">
        <v>146</v>
      </c>
      <c r="E1252" t="s">
        <v>8221</v>
      </c>
      <c r="F1252">
        <v>0</v>
      </c>
    </row>
    <row r="1253" spans="2:6" x14ac:dyDescent="0.2">
      <c r="B1253" t="s">
        <v>8219</v>
      </c>
      <c r="C1253">
        <v>146</v>
      </c>
      <c r="E1253" t="s">
        <v>8221</v>
      </c>
      <c r="F1253">
        <v>0</v>
      </c>
    </row>
    <row r="1254" spans="2:6" x14ac:dyDescent="0.2">
      <c r="B1254" t="s">
        <v>8219</v>
      </c>
      <c r="C1254">
        <v>146</v>
      </c>
      <c r="E1254" t="s">
        <v>8221</v>
      </c>
      <c r="F1254">
        <v>0</v>
      </c>
    </row>
    <row r="1255" spans="2:6" x14ac:dyDescent="0.2">
      <c r="B1255" t="s">
        <v>8219</v>
      </c>
      <c r="C1255">
        <v>145</v>
      </c>
      <c r="E1255" t="s">
        <v>8221</v>
      </c>
      <c r="F1255">
        <v>0</v>
      </c>
    </row>
    <row r="1256" spans="2:6" x14ac:dyDescent="0.2">
      <c r="B1256" t="s">
        <v>8219</v>
      </c>
      <c r="C1256">
        <v>145</v>
      </c>
      <c r="E1256" t="s">
        <v>8221</v>
      </c>
      <c r="F1256">
        <v>0</v>
      </c>
    </row>
    <row r="1257" spans="2:6" x14ac:dyDescent="0.2">
      <c r="B1257" t="s">
        <v>8219</v>
      </c>
      <c r="C1257">
        <v>145</v>
      </c>
      <c r="E1257" t="s">
        <v>8221</v>
      </c>
      <c r="F1257">
        <v>0</v>
      </c>
    </row>
    <row r="1258" spans="2:6" x14ac:dyDescent="0.2">
      <c r="B1258" t="s">
        <v>8219</v>
      </c>
      <c r="C1258">
        <v>145</v>
      </c>
      <c r="E1258" t="s">
        <v>8221</v>
      </c>
      <c r="F1258">
        <v>0</v>
      </c>
    </row>
    <row r="1259" spans="2:6" x14ac:dyDescent="0.2">
      <c r="B1259" t="s">
        <v>8219</v>
      </c>
      <c r="C1259">
        <v>145</v>
      </c>
      <c r="E1259" t="s">
        <v>8221</v>
      </c>
      <c r="F1259">
        <v>0</v>
      </c>
    </row>
    <row r="1260" spans="2:6" x14ac:dyDescent="0.2">
      <c r="B1260" t="s">
        <v>8219</v>
      </c>
      <c r="C1260">
        <v>145</v>
      </c>
      <c r="E1260" t="s">
        <v>8221</v>
      </c>
      <c r="F1260">
        <v>0</v>
      </c>
    </row>
    <row r="1261" spans="2:6" x14ac:dyDescent="0.2">
      <c r="B1261" t="s">
        <v>8219</v>
      </c>
      <c r="C1261">
        <v>144</v>
      </c>
      <c r="E1261" t="s">
        <v>8221</v>
      </c>
      <c r="F1261">
        <v>0</v>
      </c>
    </row>
    <row r="1262" spans="2:6" x14ac:dyDescent="0.2">
      <c r="B1262" t="s">
        <v>8219</v>
      </c>
      <c r="C1262">
        <v>144</v>
      </c>
      <c r="E1262" t="s">
        <v>8221</v>
      </c>
      <c r="F1262">
        <v>0</v>
      </c>
    </row>
    <row r="1263" spans="2:6" x14ac:dyDescent="0.2">
      <c r="B1263" t="s">
        <v>8219</v>
      </c>
      <c r="C1263">
        <v>143</v>
      </c>
      <c r="E1263" t="s">
        <v>8221</v>
      </c>
      <c r="F1263">
        <v>0</v>
      </c>
    </row>
    <row r="1264" spans="2:6" x14ac:dyDescent="0.2">
      <c r="B1264" t="s">
        <v>8219</v>
      </c>
      <c r="C1264">
        <v>143</v>
      </c>
      <c r="E1264" t="s">
        <v>8221</v>
      </c>
      <c r="F1264">
        <v>0</v>
      </c>
    </row>
    <row r="1265" spans="2:6" x14ac:dyDescent="0.2">
      <c r="B1265" t="s">
        <v>8219</v>
      </c>
      <c r="C1265">
        <v>142</v>
      </c>
      <c r="E1265" t="s">
        <v>8221</v>
      </c>
      <c r="F1265">
        <v>0</v>
      </c>
    </row>
    <row r="1266" spans="2:6" x14ac:dyDescent="0.2">
      <c r="B1266" t="s">
        <v>8219</v>
      </c>
      <c r="C1266">
        <v>142</v>
      </c>
      <c r="E1266" t="s">
        <v>8221</v>
      </c>
      <c r="F1266">
        <v>0</v>
      </c>
    </row>
    <row r="1267" spans="2:6" x14ac:dyDescent="0.2">
      <c r="B1267" t="s">
        <v>8219</v>
      </c>
      <c r="C1267">
        <v>141</v>
      </c>
      <c r="E1267" t="s">
        <v>8221</v>
      </c>
      <c r="F1267">
        <v>0</v>
      </c>
    </row>
    <row r="1268" spans="2:6" x14ac:dyDescent="0.2">
      <c r="B1268" t="s">
        <v>8219</v>
      </c>
      <c r="C1268">
        <v>141</v>
      </c>
      <c r="E1268" t="s">
        <v>8221</v>
      </c>
      <c r="F1268">
        <v>0</v>
      </c>
    </row>
    <row r="1269" spans="2:6" x14ac:dyDescent="0.2">
      <c r="B1269" t="s">
        <v>8219</v>
      </c>
      <c r="C1269">
        <v>141</v>
      </c>
      <c r="E1269" t="s">
        <v>8221</v>
      </c>
      <c r="F1269">
        <v>0</v>
      </c>
    </row>
    <row r="1270" spans="2:6" x14ac:dyDescent="0.2">
      <c r="B1270" t="s">
        <v>8219</v>
      </c>
      <c r="C1270">
        <v>141</v>
      </c>
      <c r="E1270" t="s">
        <v>8221</v>
      </c>
      <c r="F1270">
        <v>0</v>
      </c>
    </row>
    <row r="1271" spans="2:6" x14ac:dyDescent="0.2">
      <c r="B1271" t="s">
        <v>8219</v>
      </c>
      <c r="C1271">
        <v>141</v>
      </c>
      <c r="E1271" t="s">
        <v>8221</v>
      </c>
      <c r="F1271">
        <v>0</v>
      </c>
    </row>
    <row r="1272" spans="2:6" x14ac:dyDescent="0.2">
      <c r="B1272" t="s">
        <v>8219</v>
      </c>
      <c r="C1272">
        <v>141</v>
      </c>
      <c r="E1272" t="s">
        <v>8221</v>
      </c>
      <c r="F1272">
        <v>0</v>
      </c>
    </row>
    <row r="1273" spans="2:6" x14ac:dyDescent="0.2">
      <c r="B1273" t="s">
        <v>8219</v>
      </c>
      <c r="C1273">
        <v>140</v>
      </c>
      <c r="E1273" t="s">
        <v>8221</v>
      </c>
      <c r="F1273">
        <v>0</v>
      </c>
    </row>
    <row r="1274" spans="2:6" x14ac:dyDescent="0.2">
      <c r="B1274" t="s">
        <v>8219</v>
      </c>
      <c r="C1274">
        <v>140</v>
      </c>
      <c r="E1274" t="s">
        <v>8221</v>
      </c>
      <c r="F1274">
        <v>0</v>
      </c>
    </row>
    <row r="1275" spans="2:6" x14ac:dyDescent="0.2">
      <c r="B1275" t="s">
        <v>8219</v>
      </c>
      <c r="C1275">
        <v>140</v>
      </c>
      <c r="E1275" t="s">
        <v>8221</v>
      </c>
      <c r="F1275">
        <v>0</v>
      </c>
    </row>
    <row r="1276" spans="2:6" x14ac:dyDescent="0.2">
      <c r="B1276" t="s">
        <v>8219</v>
      </c>
      <c r="C1276">
        <v>140</v>
      </c>
      <c r="E1276" t="s">
        <v>8221</v>
      </c>
      <c r="F1276">
        <v>0</v>
      </c>
    </row>
    <row r="1277" spans="2:6" x14ac:dyDescent="0.2">
      <c r="B1277" t="s">
        <v>8219</v>
      </c>
      <c r="C1277">
        <v>139</v>
      </c>
      <c r="E1277" t="s">
        <v>8221</v>
      </c>
      <c r="F1277">
        <v>0</v>
      </c>
    </row>
    <row r="1278" spans="2:6" x14ac:dyDescent="0.2">
      <c r="B1278" t="s">
        <v>8219</v>
      </c>
      <c r="C1278">
        <v>139</v>
      </c>
      <c r="E1278" t="s">
        <v>8221</v>
      </c>
      <c r="F1278">
        <v>0</v>
      </c>
    </row>
    <row r="1279" spans="2:6" x14ac:dyDescent="0.2">
      <c r="B1279" t="s">
        <v>8219</v>
      </c>
      <c r="C1279">
        <v>139</v>
      </c>
      <c r="E1279" t="s">
        <v>8221</v>
      </c>
      <c r="F1279">
        <v>0</v>
      </c>
    </row>
    <row r="1280" spans="2:6" x14ac:dyDescent="0.2">
      <c r="B1280" t="s">
        <v>8219</v>
      </c>
      <c r="C1280">
        <v>138</v>
      </c>
      <c r="E1280" t="s">
        <v>8221</v>
      </c>
      <c r="F1280">
        <v>0</v>
      </c>
    </row>
    <row r="1281" spans="2:6" x14ac:dyDescent="0.2">
      <c r="B1281" t="s">
        <v>8219</v>
      </c>
      <c r="C1281">
        <v>137</v>
      </c>
      <c r="E1281" t="s">
        <v>8221</v>
      </c>
      <c r="F1281">
        <v>0</v>
      </c>
    </row>
    <row r="1282" spans="2:6" x14ac:dyDescent="0.2">
      <c r="B1282" t="s">
        <v>8219</v>
      </c>
      <c r="C1282">
        <v>137</v>
      </c>
      <c r="E1282" t="s">
        <v>8221</v>
      </c>
      <c r="F1282">
        <v>0</v>
      </c>
    </row>
    <row r="1283" spans="2:6" x14ac:dyDescent="0.2">
      <c r="B1283" t="s">
        <v>8219</v>
      </c>
      <c r="C1283">
        <v>136</v>
      </c>
      <c r="E1283" t="s">
        <v>8221</v>
      </c>
      <c r="F1283">
        <v>0</v>
      </c>
    </row>
    <row r="1284" spans="2:6" x14ac:dyDescent="0.2">
      <c r="B1284" t="s">
        <v>8219</v>
      </c>
      <c r="C1284">
        <v>136</v>
      </c>
      <c r="E1284" t="s">
        <v>8221</v>
      </c>
      <c r="F1284">
        <v>0</v>
      </c>
    </row>
    <row r="1285" spans="2:6" x14ac:dyDescent="0.2">
      <c r="B1285" t="s">
        <v>8219</v>
      </c>
      <c r="C1285">
        <v>136</v>
      </c>
      <c r="E1285" t="s">
        <v>8221</v>
      </c>
      <c r="F1285">
        <v>0</v>
      </c>
    </row>
    <row r="1286" spans="2:6" x14ac:dyDescent="0.2">
      <c r="B1286" t="s">
        <v>8219</v>
      </c>
      <c r="C1286">
        <v>135</v>
      </c>
      <c r="E1286" t="s">
        <v>8221</v>
      </c>
      <c r="F1286">
        <v>0</v>
      </c>
    </row>
    <row r="1287" spans="2:6" x14ac:dyDescent="0.2">
      <c r="B1287" t="s">
        <v>8219</v>
      </c>
      <c r="C1287">
        <v>134</v>
      </c>
      <c r="E1287" t="s">
        <v>8221</v>
      </c>
      <c r="F1287">
        <v>0</v>
      </c>
    </row>
    <row r="1288" spans="2:6" x14ac:dyDescent="0.2">
      <c r="B1288" t="s">
        <v>8219</v>
      </c>
      <c r="C1288">
        <v>134</v>
      </c>
      <c r="E1288" t="s">
        <v>8221</v>
      </c>
      <c r="F1288">
        <v>0</v>
      </c>
    </row>
    <row r="1289" spans="2:6" x14ac:dyDescent="0.2">
      <c r="B1289" t="s">
        <v>8219</v>
      </c>
      <c r="C1289">
        <v>134</v>
      </c>
      <c r="E1289" t="s">
        <v>8221</v>
      </c>
      <c r="F1289">
        <v>0</v>
      </c>
    </row>
    <row r="1290" spans="2:6" x14ac:dyDescent="0.2">
      <c r="B1290" t="s">
        <v>8219</v>
      </c>
      <c r="C1290">
        <v>134</v>
      </c>
      <c r="E1290" t="s">
        <v>8221</v>
      </c>
      <c r="F1290">
        <v>0</v>
      </c>
    </row>
    <row r="1291" spans="2:6" x14ac:dyDescent="0.2">
      <c r="B1291" t="s">
        <v>8219</v>
      </c>
      <c r="C1291">
        <v>134</v>
      </c>
      <c r="E1291" t="s">
        <v>8221</v>
      </c>
      <c r="F1291">
        <v>0</v>
      </c>
    </row>
    <row r="1292" spans="2:6" x14ac:dyDescent="0.2">
      <c r="B1292" t="s">
        <v>8219</v>
      </c>
      <c r="C1292">
        <v>134</v>
      </c>
      <c r="E1292" t="s">
        <v>8221</v>
      </c>
      <c r="F1292">
        <v>0</v>
      </c>
    </row>
    <row r="1293" spans="2:6" x14ac:dyDescent="0.2">
      <c r="B1293" t="s">
        <v>8219</v>
      </c>
      <c r="C1293">
        <v>133</v>
      </c>
      <c r="E1293" t="s">
        <v>8221</v>
      </c>
      <c r="F1293">
        <v>0</v>
      </c>
    </row>
    <row r="1294" spans="2:6" x14ac:dyDescent="0.2">
      <c r="B1294" t="s">
        <v>8219</v>
      </c>
      <c r="C1294">
        <v>133</v>
      </c>
      <c r="E1294" t="s">
        <v>8221</v>
      </c>
      <c r="F1294">
        <v>0</v>
      </c>
    </row>
    <row r="1295" spans="2:6" x14ac:dyDescent="0.2">
      <c r="B1295" t="s">
        <v>8219</v>
      </c>
      <c r="C1295">
        <v>133</v>
      </c>
      <c r="E1295" t="s">
        <v>8221</v>
      </c>
      <c r="F1295">
        <v>0</v>
      </c>
    </row>
    <row r="1296" spans="2:6" x14ac:dyDescent="0.2">
      <c r="B1296" t="s">
        <v>8219</v>
      </c>
      <c r="C1296">
        <v>133</v>
      </c>
      <c r="E1296" t="s">
        <v>8221</v>
      </c>
      <c r="F1296">
        <v>0</v>
      </c>
    </row>
    <row r="1297" spans="2:6" x14ac:dyDescent="0.2">
      <c r="B1297" t="s">
        <v>8219</v>
      </c>
      <c r="C1297">
        <v>133</v>
      </c>
      <c r="E1297" t="s">
        <v>8221</v>
      </c>
      <c r="F1297">
        <v>0</v>
      </c>
    </row>
    <row r="1298" spans="2:6" x14ac:dyDescent="0.2">
      <c r="B1298" t="s">
        <v>8219</v>
      </c>
      <c r="C1298">
        <v>132</v>
      </c>
      <c r="E1298" t="s">
        <v>8221</v>
      </c>
      <c r="F1298">
        <v>0</v>
      </c>
    </row>
    <row r="1299" spans="2:6" x14ac:dyDescent="0.2">
      <c r="B1299" t="s">
        <v>8219</v>
      </c>
      <c r="C1299">
        <v>132</v>
      </c>
      <c r="E1299" t="s">
        <v>8221</v>
      </c>
      <c r="F1299">
        <v>0</v>
      </c>
    </row>
    <row r="1300" spans="2:6" x14ac:dyDescent="0.2">
      <c r="B1300" t="s">
        <v>8219</v>
      </c>
      <c r="C1300">
        <v>131</v>
      </c>
      <c r="E1300" t="s">
        <v>8221</v>
      </c>
      <c r="F1300">
        <v>0</v>
      </c>
    </row>
    <row r="1301" spans="2:6" x14ac:dyDescent="0.2">
      <c r="B1301" t="s">
        <v>8219</v>
      </c>
      <c r="C1301">
        <v>131</v>
      </c>
      <c r="E1301" t="s">
        <v>8221</v>
      </c>
      <c r="F1301">
        <v>0</v>
      </c>
    </row>
    <row r="1302" spans="2:6" x14ac:dyDescent="0.2">
      <c r="B1302" t="s">
        <v>8219</v>
      </c>
      <c r="C1302">
        <v>131</v>
      </c>
      <c r="E1302" t="s">
        <v>8221</v>
      </c>
      <c r="F1302">
        <v>0</v>
      </c>
    </row>
    <row r="1303" spans="2:6" x14ac:dyDescent="0.2">
      <c r="B1303" t="s">
        <v>8219</v>
      </c>
      <c r="C1303">
        <v>131</v>
      </c>
      <c r="E1303" t="s">
        <v>8221</v>
      </c>
      <c r="F1303">
        <v>0</v>
      </c>
    </row>
    <row r="1304" spans="2:6" x14ac:dyDescent="0.2">
      <c r="B1304" t="s">
        <v>8219</v>
      </c>
      <c r="C1304">
        <v>130</v>
      </c>
      <c r="E1304" t="s">
        <v>8221</v>
      </c>
      <c r="F1304">
        <v>0</v>
      </c>
    </row>
    <row r="1305" spans="2:6" x14ac:dyDescent="0.2">
      <c r="B1305" t="s">
        <v>8219</v>
      </c>
      <c r="C1305">
        <v>130</v>
      </c>
      <c r="E1305" t="s">
        <v>8221</v>
      </c>
      <c r="F1305">
        <v>0</v>
      </c>
    </row>
    <row r="1306" spans="2:6" hidden="1" x14ac:dyDescent="0.2">
      <c r="B1306" t="s">
        <v>8220</v>
      </c>
      <c r="C1306">
        <v>104</v>
      </c>
      <c r="E1306" t="s">
        <v>8221</v>
      </c>
      <c r="F1306">
        <v>0</v>
      </c>
    </row>
    <row r="1307" spans="2:6" hidden="1" x14ac:dyDescent="0.2">
      <c r="B1307" t="s">
        <v>8220</v>
      </c>
      <c r="C1307">
        <v>86</v>
      </c>
      <c r="E1307" t="s">
        <v>8221</v>
      </c>
      <c r="F1307">
        <v>0</v>
      </c>
    </row>
    <row r="1308" spans="2:6" hidden="1" x14ac:dyDescent="0.2">
      <c r="B1308" t="s">
        <v>8220</v>
      </c>
      <c r="C1308">
        <v>356</v>
      </c>
      <c r="E1308" t="s">
        <v>8221</v>
      </c>
      <c r="F1308">
        <v>0</v>
      </c>
    </row>
    <row r="1309" spans="2:6" hidden="1" x14ac:dyDescent="0.2">
      <c r="B1309" t="s">
        <v>8220</v>
      </c>
      <c r="C1309">
        <v>45</v>
      </c>
      <c r="E1309" t="s">
        <v>8221</v>
      </c>
      <c r="F1309">
        <v>0</v>
      </c>
    </row>
    <row r="1310" spans="2:6" hidden="1" x14ac:dyDescent="0.2">
      <c r="B1310" t="s">
        <v>8220</v>
      </c>
      <c r="C1310">
        <v>38</v>
      </c>
      <c r="E1310" t="s">
        <v>8221</v>
      </c>
      <c r="F1310">
        <v>0</v>
      </c>
    </row>
    <row r="1311" spans="2:6" hidden="1" x14ac:dyDescent="0.2">
      <c r="B1311" t="s">
        <v>8220</v>
      </c>
      <c r="C1311">
        <v>35</v>
      </c>
      <c r="E1311" t="s">
        <v>8221</v>
      </c>
      <c r="F1311">
        <v>0</v>
      </c>
    </row>
    <row r="1312" spans="2:6" hidden="1" x14ac:dyDescent="0.2">
      <c r="B1312" t="s">
        <v>8220</v>
      </c>
      <c r="C1312">
        <v>24</v>
      </c>
      <c r="E1312" t="s">
        <v>8221</v>
      </c>
      <c r="F1312">
        <v>0</v>
      </c>
    </row>
    <row r="1313" spans="2:6" hidden="1" x14ac:dyDescent="0.2">
      <c r="B1313" t="s">
        <v>8220</v>
      </c>
      <c r="C1313">
        <v>100</v>
      </c>
      <c r="E1313" t="s">
        <v>8221</v>
      </c>
      <c r="F1313">
        <v>0</v>
      </c>
    </row>
    <row r="1314" spans="2:6" hidden="1" x14ac:dyDescent="0.2">
      <c r="B1314" t="s">
        <v>8220</v>
      </c>
      <c r="C1314">
        <v>1</v>
      </c>
      <c r="E1314" t="s">
        <v>8221</v>
      </c>
      <c r="F1314">
        <v>0</v>
      </c>
    </row>
    <row r="1315" spans="2:6" hidden="1" x14ac:dyDescent="0.2">
      <c r="B1315" t="s">
        <v>8220</v>
      </c>
      <c r="C1315">
        <v>122</v>
      </c>
      <c r="E1315" t="s">
        <v>8221</v>
      </c>
      <c r="F1315">
        <v>0</v>
      </c>
    </row>
    <row r="1316" spans="2:6" hidden="1" x14ac:dyDescent="0.2">
      <c r="B1316" t="s">
        <v>8220</v>
      </c>
      <c r="C1316">
        <v>11</v>
      </c>
      <c r="E1316" t="s">
        <v>8221</v>
      </c>
      <c r="F1316">
        <v>0</v>
      </c>
    </row>
    <row r="1317" spans="2:6" hidden="1" x14ac:dyDescent="0.2">
      <c r="B1317" t="s">
        <v>8220</v>
      </c>
      <c r="C1317">
        <v>248</v>
      </c>
      <c r="E1317" t="s">
        <v>8221</v>
      </c>
      <c r="F1317">
        <v>0</v>
      </c>
    </row>
    <row r="1318" spans="2:6" hidden="1" x14ac:dyDescent="0.2">
      <c r="B1318" t="s">
        <v>8220</v>
      </c>
      <c r="C1318">
        <v>1</v>
      </c>
      <c r="E1318" t="s">
        <v>8221</v>
      </c>
      <c r="F1318">
        <v>0</v>
      </c>
    </row>
    <row r="1319" spans="2:6" hidden="1" x14ac:dyDescent="0.2">
      <c r="B1319" t="s">
        <v>8220</v>
      </c>
      <c r="C1319">
        <v>19</v>
      </c>
      <c r="E1319" t="s">
        <v>8221</v>
      </c>
      <c r="F1319">
        <v>0</v>
      </c>
    </row>
    <row r="1320" spans="2:6" hidden="1" x14ac:dyDescent="0.2">
      <c r="B1320" t="s">
        <v>8220</v>
      </c>
      <c r="C1320">
        <v>135</v>
      </c>
      <c r="E1320" t="s">
        <v>8221</v>
      </c>
      <c r="F1320">
        <v>0</v>
      </c>
    </row>
    <row r="1321" spans="2:6" hidden="1" x14ac:dyDescent="0.2">
      <c r="B1321" t="s">
        <v>8220</v>
      </c>
      <c r="C1321">
        <v>9</v>
      </c>
      <c r="E1321" t="s">
        <v>8221</v>
      </c>
      <c r="F1321">
        <v>0</v>
      </c>
    </row>
    <row r="1322" spans="2:6" hidden="1" x14ac:dyDescent="0.2">
      <c r="B1322" t="s">
        <v>8220</v>
      </c>
      <c r="C1322">
        <v>3</v>
      </c>
      <c r="E1322" t="s">
        <v>8221</v>
      </c>
      <c r="F1322">
        <v>0</v>
      </c>
    </row>
    <row r="1323" spans="2:6" hidden="1" x14ac:dyDescent="0.2">
      <c r="B1323" t="s">
        <v>8220</v>
      </c>
      <c r="C1323">
        <v>7</v>
      </c>
      <c r="E1323" t="s">
        <v>8221</v>
      </c>
      <c r="F1323">
        <v>0</v>
      </c>
    </row>
    <row r="1324" spans="2:6" hidden="1" x14ac:dyDescent="0.2">
      <c r="B1324" t="s">
        <v>8220</v>
      </c>
      <c r="C1324">
        <v>4</v>
      </c>
      <c r="E1324" t="s">
        <v>8221</v>
      </c>
      <c r="F1324">
        <v>0</v>
      </c>
    </row>
    <row r="1325" spans="2:6" hidden="1" x14ac:dyDescent="0.2">
      <c r="B1325" t="s">
        <v>8220</v>
      </c>
      <c r="C1325">
        <v>44</v>
      </c>
      <c r="E1325" t="s">
        <v>8221</v>
      </c>
      <c r="F1325">
        <v>0</v>
      </c>
    </row>
    <row r="1326" spans="2:6" hidden="1" x14ac:dyDescent="0.2">
      <c r="B1326" t="s">
        <v>8220</v>
      </c>
      <c r="C1326">
        <v>90</v>
      </c>
      <c r="E1326" t="s">
        <v>8221</v>
      </c>
      <c r="F1326">
        <v>0</v>
      </c>
    </row>
    <row r="1327" spans="2:6" hidden="1" x14ac:dyDescent="0.2">
      <c r="B1327" t="s">
        <v>8220</v>
      </c>
      <c r="C1327">
        <v>8</v>
      </c>
      <c r="E1327" t="s">
        <v>8221</v>
      </c>
      <c r="F1327">
        <v>0</v>
      </c>
    </row>
    <row r="1328" spans="2:6" hidden="1" x14ac:dyDescent="0.2">
      <c r="B1328" t="s">
        <v>8220</v>
      </c>
      <c r="C1328">
        <v>11</v>
      </c>
      <c r="E1328" t="s">
        <v>8221</v>
      </c>
      <c r="F1328">
        <v>0</v>
      </c>
    </row>
    <row r="1329" spans="2:6" hidden="1" x14ac:dyDescent="0.2">
      <c r="B1329" t="s">
        <v>8220</v>
      </c>
      <c r="C1329">
        <v>41</v>
      </c>
      <c r="E1329" t="s">
        <v>8221</v>
      </c>
      <c r="F1329">
        <v>0</v>
      </c>
    </row>
    <row r="1330" spans="2:6" hidden="1" x14ac:dyDescent="0.2">
      <c r="B1330" t="s">
        <v>8220</v>
      </c>
      <c r="C1330">
        <v>15</v>
      </c>
      <c r="E1330" t="s">
        <v>8221</v>
      </c>
      <c r="F1330">
        <v>0</v>
      </c>
    </row>
    <row r="1331" spans="2:6" hidden="1" x14ac:dyDescent="0.2">
      <c r="B1331" t="s">
        <v>8220</v>
      </c>
      <c r="C1331">
        <v>9</v>
      </c>
      <c r="E1331" t="s">
        <v>8221</v>
      </c>
      <c r="F1331">
        <v>0</v>
      </c>
    </row>
    <row r="1332" spans="2:6" hidden="1" x14ac:dyDescent="0.2">
      <c r="B1332" t="s">
        <v>8220</v>
      </c>
      <c r="C1332">
        <v>50</v>
      </c>
      <c r="E1332" t="s">
        <v>8221</v>
      </c>
      <c r="F1332">
        <v>0</v>
      </c>
    </row>
    <row r="1333" spans="2:6" hidden="1" x14ac:dyDescent="0.2">
      <c r="B1333" t="s">
        <v>8220</v>
      </c>
      <c r="C1333">
        <v>34</v>
      </c>
      <c r="E1333" t="s">
        <v>8221</v>
      </c>
      <c r="F1333">
        <v>0</v>
      </c>
    </row>
    <row r="1334" spans="2:6" hidden="1" x14ac:dyDescent="0.2">
      <c r="B1334" t="s">
        <v>8220</v>
      </c>
      <c r="C1334">
        <v>0</v>
      </c>
      <c r="E1334" t="s">
        <v>8221</v>
      </c>
      <c r="F1334">
        <v>0</v>
      </c>
    </row>
    <row r="1335" spans="2:6" hidden="1" x14ac:dyDescent="0.2">
      <c r="B1335" t="s">
        <v>8220</v>
      </c>
      <c r="C1335">
        <v>0</v>
      </c>
      <c r="E1335" t="s">
        <v>8221</v>
      </c>
      <c r="F1335">
        <v>0</v>
      </c>
    </row>
    <row r="1336" spans="2:6" hidden="1" x14ac:dyDescent="0.2">
      <c r="B1336" t="s">
        <v>8220</v>
      </c>
      <c r="C1336">
        <v>276</v>
      </c>
      <c r="E1336" t="s">
        <v>8221</v>
      </c>
      <c r="F1336">
        <v>0</v>
      </c>
    </row>
    <row r="1337" spans="2:6" hidden="1" x14ac:dyDescent="0.2">
      <c r="B1337" t="s">
        <v>8220</v>
      </c>
      <c r="C1337">
        <v>16</v>
      </c>
      <c r="E1337" t="s">
        <v>8221</v>
      </c>
      <c r="F1337">
        <v>0</v>
      </c>
    </row>
    <row r="1338" spans="2:6" hidden="1" x14ac:dyDescent="0.2">
      <c r="B1338" t="s">
        <v>8220</v>
      </c>
      <c r="C1338">
        <v>224</v>
      </c>
      <c r="E1338" t="s">
        <v>8221</v>
      </c>
      <c r="F1338">
        <v>0</v>
      </c>
    </row>
    <row r="1339" spans="2:6" hidden="1" x14ac:dyDescent="0.2">
      <c r="B1339" t="s">
        <v>8220</v>
      </c>
      <c r="C1339">
        <v>140</v>
      </c>
      <c r="E1339" t="s">
        <v>8221</v>
      </c>
      <c r="F1339">
        <v>0</v>
      </c>
    </row>
    <row r="1340" spans="2:6" hidden="1" x14ac:dyDescent="0.2">
      <c r="B1340" t="s">
        <v>8220</v>
      </c>
      <c r="C1340">
        <v>15</v>
      </c>
      <c r="E1340" t="s">
        <v>8221</v>
      </c>
      <c r="F1340">
        <v>0</v>
      </c>
    </row>
    <row r="1341" spans="2:6" hidden="1" x14ac:dyDescent="0.2">
      <c r="B1341" t="s">
        <v>8220</v>
      </c>
      <c r="C1341">
        <v>37</v>
      </c>
      <c r="E1341" t="s">
        <v>8221</v>
      </c>
      <c r="F1341">
        <v>0</v>
      </c>
    </row>
    <row r="1342" spans="2:6" hidden="1" x14ac:dyDescent="0.2">
      <c r="B1342" t="s">
        <v>8220</v>
      </c>
      <c r="C1342">
        <v>0</v>
      </c>
      <c r="E1342" t="s">
        <v>8221</v>
      </c>
      <c r="F1342">
        <v>0</v>
      </c>
    </row>
    <row r="1343" spans="2:6" hidden="1" x14ac:dyDescent="0.2">
      <c r="B1343" t="s">
        <v>8220</v>
      </c>
      <c r="C1343">
        <v>46</v>
      </c>
      <c r="E1343" t="s">
        <v>8221</v>
      </c>
      <c r="F1343">
        <v>0</v>
      </c>
    </row>
    <row r="1344" spans="2:6" hidden="1" x14ac:dyDescent="0.2">
      <c r="B1344" t="s">
        <v>8220</v>
      </c>
      <c r="C1344">
        <v>1</v>
      </c>
      <c r="E1344" t="s">
        <v>8221</v>
      </c>
      <c r="F1344">
        <v>0</v>
      </c>
    </row>
    <row r="1345" spans="2:6" hidden="1" x14ac:dyDescent="0.2">
      <c r="B1345" t="s">
        <v>8220</v>
      </c>
      <c r="C1345">
        <v>323</v>
      </c>
      <c r="E1345" t="s">
        <v>8221</v>
      </c>
      <c r="F1345">
        <v>0</v>
      </c>
    </row>
    <row r="1346" spans="2:6" x14ac:dyDescent="0.2">
      <c r="B1346" t="s">
        <v>8219</v>
      </c>
      <c r="C1346">
        <v>130</v>
      </c>
      <c r="E1346" t="s">
        <v>8221</v>
      </c>
      <c r="F1346">
        <v>0</v>
      </c>
    </row>
    <row r="1347" spans="2:6" x14ac:dyDescent="0.2">
      <c r="B1347" t="s">
        <v>8219</v>
      </c>
      <c r="C1347">
        <v>130</v>
      </c>
      <c r="E1347" t="s">
        <v>8221</v>
      </c>
      <c r="F1347">
        <v>0</v>
      </c>
    </row>
    <row r="1348" spans="2:6" x14ac:dyDescent="0.2">
      <c r="B1348" t="s">
        <v>8219</v>
      </c>
      <c r="C1348">
        <v>130</v>
      </c>
      <c r="E1348" t="s">
        <v>8221</v>
      </c>
      <c r="F1348">
        <v>0</v>
      </c>
    </row>
    <row r="1349" spans="2:6" x14ac:dyDescent="0.2">
      <c r="B1349" t="s">
        <v>8219</v>
      </c>
      <c r="C1349">
        <v>129</v>
      </c>
      <c r="E1349" t="s">
        <v>8221</v>
      </c>
      <c r="F1349">
        <v>0</v>
      </c>
    </row>
    <row r="1350" spans="2:6" x14ac:dyDescent="0.2">
      <c r="B1350" t="s">
        <v>8219</v>
      </c>
      <c r="C1350">
        <v>128</v>
      </c>
      <c r="E1350" t="s">
        <v>8221</v>
      </c>
      <c r="F1350">
        <v>0</v>
      </c>
    </row>
    <row r="1351" spans="2:6" x14ac:dyDescent="0.2">
      <c r="B1351" t="s">
        <v>8219</v>
      </c>
      <c r="C1351">
        <v>128</v>
      </c>
      <c r="E1351" t="s">
        <v>8221</v>
      </c>
      <c r="F1351">
        <v>0</v>
      </c>
    </row>
    <row r="1352" spans="2:6" x14ac:dyDescent="0.2">
      <c r="B1352" t="s">
        <v>8219</v>
      </c>
      <c r="C1352">
        <v>128</v>
      </c>
      <c r="E1352" t="s">
        <v>8221</v>
      </c>
      <c r="F1352">
        <v>0</v>
      </c>
    </row>
    <row r="1353" spans="2:6" x14ac:dyDescent="0.2">
      <c r="B1353" t="s">
        <v>8219</v>
      </c>
      <c r="C1353">
        <v>128</v>
      </c>
      <c r="E1353" t="s">
        <v>8221</v>
      </c>
      <c r="F1353">
        <v>0</v>
      </c>
    </row>
    <row r="1354" spans="2:6" x14ac:dyDescent="0.2">
      <c r="B1354" t="s">
        <v>8219</v>
      </c>
      <c r="C1354">
        <v>128</v>
      </c>
      <c r="E1354" t="s">
        <v>8221</v>
      </c>
      <c r="F1354">
        <v>0</v>
      </c>
    </row>
    <row r="1355" spans="2:6" x14ac:dyDescent="0.2">
      <c r="B1355" t="s">
        <v>8219</v>
      </c>
      <c r="C1355">
        <v>128</v>
      </c>
      <c r="E1355" t="s">
        <v>8221</v>
      </c>
      <c r="F1355">
        <v>0</v>
      </c>
    </row>
    <row r="1356" spans="2:6" x14ac:dyDescent="0.2">
      <c r="B1356" t="s">
        <v>8219</v>
      </c>
      <c r="C1356">
        <v>128</v>
      </c>
      <c r="E1356" t="s">
        <v>8221</v>
      </c>
      <c r="F1356">
        <v>0</v>
      </c>
    </row>
    <row r="1357" spans="2:6" x14ac:dyDescent="0.2">
      <c r="B1357" t="s">
        <v>8219</v>
      </c>
      <c r="C1357">
        <v>127</v>
      </c>
      <c r="E1357" t="s">
        <v>8221</v>
      </c>
      <c r="F1357">
        <v>0</v>
      </c>
    </row>
    <row r="1358" spans="2:6" x14ac:dyDescent="0.2">
      <c r="B1358" t="s">
        <v>8219</v>
      </c>
      <c r="C1358">
        <v>126</v>
      </c>
      <c r="E1358" t="s">
        <v>8221</v>
      </c>
      <c r="F1358">
        <v>0</v>
      </c>
    </row>
    <row r="1359" spans="2:6" x14ac:dyDescent="0.2">
      <c r="B1359" t="s">
        <v>8219</v>
      </c>
      <c r="C1359">
        <v>126</v>
      </c>
      <c r="E1359" t="s">
        <v>8221</v>
      </c>
      <c r="F1359">
        <v>0</v>
      </c>
    </row>
    <row r="1360" spans="2:6" x14ac:dyDescent="0.2">
      <c r="B1360" t="s">
        <v>8219</v>
      </c>
      <c r="C1360">
        <v>126</v>
      </c>
      <c r="E1360" t="s">
        <v>8221</v>
      </c>
      <c r="F1360">
        <v>0</v>
      </c>
    </row>
    <row r="1361" spans="2:6" x14ac:dyDescent="0.2">
      <c r="B1361" t="s">
        <v>8219</v>
      </c>
      <c r="C1361">
        <v>125</v>
      </c>
      <c r="E1361" t="s">
        <v>8221</v>
      </c>
      <c r="F1361">
        <v>0</v>
      </c>
    </row>
    <row r="1362" spans="2:6" x14ac:dyDescent="0.2">
      <c r="B1362" t="s">
        <v>8219</v>
      </c>
      <c r="C1362">
        <v>125</v>
      </c>
      <c r="E1362" t="s">
        <v>8221</v>
      </c>
      <c r="F1362">
        <v>0</v>
      </c>
    </row>
    <row r="1363" spans="2:6" x14ac:dyDescent="0.2">
      <c r="B1363" t="s">
        <v>8219</v>
      </c>
      <c r="C1363">
        <v>125</v>
      </c>
      <c r="E1363" t="s">
        <v>8221</v>
      </c>
      <c r="F1363">
        <v>0</v>
      </c>
    </row>
    <row r="1364" spans="2:6" x14ac:dyDescent="0.2">
      <c r="B1364" t="s">
        <v>8219</v>
      </c>
      <c r="C1364">
        <v>124</v>
      </c>
      <c r="E1364" t="s">
        <v>8221</v>
      </c>
      <c r="F1364">
        <v>0</v>
      </c>
    </row>
    <row r="1365" spans="2:6" x14ac:dyDescent="0.2">
      <c r="B1365" t="s">
        <v>8219</v>
      </c>
      <c r="C1365">
        <v>123</v>
      </c>
      <c r="E1365" t="s">
        <v>8221</v>
      </c>
      <c r="F1365">
        <v>0</v>
      </c>
    </row>
    <row r="1366" spans="2:6" x14ac:dyDescent="0.2">
      <c r="B1366" t="s">
        <v>8219</v>
      </c>
      <c r="C1366">
        <v>123</v>
      </c>
      <c r="E1366" t="s">
        <v>8221</v>
      </c>
      <c r="F1366">
        <v>0</v>
      </c>
    </row>
    <row r="1367" spans="2:6" x14ac:dyDescent="0.2">
      <c r="B1367" t="s">
        <v>8219</v>
      </c>
      <c r="C1367">
        <v>123</v>
      </c>
      <c r="E1367" t="s">
        <v>8221</v>
      </c>
      <c r="F1367">
        <v>0</v>
      </c>
    </row>
    <row r="1368" spans="2:6" x14ac:dyDescent="0.2">
      <c r="B1368" t="s">
        <v>8219</v>
      </c>
      <c r="C1368">
        <v>123</v>
      </c>
      <c r="E1368" t="s">
        <v>8221</v>
      </c>
      <c r="F1368">
        <v>0</v>
      </c>
    </row>
    <row r="1369" spans="2:6" x14ac:dyDescent="0.2">
      <c r="B1369" t="s">
        <v>8219</v>
      </c>
      <c r="C1369">
        <v>122</v>
      </c>
      <c r="E1369" t="s">
        <v>8221</v>
      </c>
      <c r="F1369">
        <v>0</v>
      </c>
    </row>
    <row r="1370" spans="2:6" x14ac:dyDescent="0.2">
      <c r="B1370" t="s">
        <v>8219</v>
      </c>
      <c r="C1370">
        <v>122</v>
      </c>
      <c r="E1370" t="s">
        <v>8221</v>
      </c>
      <c r="F1370">
        <v>0</v>
      </c>
    </row>
    <row r="1371" spans="2:6" x14ac:dyDescent="0.2">
      <c r="B1371" t="s">
        <v>8219</v>
      </c>
      <c r="C1371">
        <v>122</v>
      </c>
      <c r="E1371" t="s">
        <v>8221</v>
      </c>
      <c r="F1371">
        <v>0</v>
      </c>
    </row>
    <row r="1372" spans="2:6" x14ac:dyDescent="0.2">
      <c r="B1372" t="s">
        <v>8219</v>
      </c>
      <c r="C1372">
        <v>121</v>
      </c>
      <c r="E1372" t="s">
        <v>8221</v>
      </c>
      <c r="F1372">
        <v>0</v>
      </c>
    </row>
    <row r="1373" spans="2:6" x14ac:dyDescent="0.2">
      <c r="B1373" t="s">
        <v>8219</v>
      </c>
      <c r="C1373">
        <v>121</v>
      </c>
      <c r="E1373" t="s">
        <v>8221</v>
      </c>
      <c r="F1373">
        <v>0</v>
      </c>
    </row>
    <row r="1374" spans="2:6" x14ac:dyDescent="0.2">
      <c r="B1374" t="s">
        <v>8219</v>
      </c>
      <c r="C1374">
        <v>120</v>
      </c>
      <c r="E1374" t="s">
        <v>8221</v>
      </c>
      <c r="F1374">
        <v>0</v>
      </c>
    </row>
    <row r="1375" spans="2:6" x14ac:dyDescent="0.2">
      <c r="B1375" t="s">
        <v>8219</v>
      </c>
      <c r="C1375">
        <v>120</v>
      </c>
      <c r="E1375" t="s">
        <v>8221</v>
      </c>
      <c r="F1375">
        <v>0</v>
      </c>
    </row>
    <row r="1376" spans="2:6" x14ac:dyDescent="0.2">
      <c r="B1376" t="s">
        <v>8219</v>
      </c>
      <c r="C1376">
        <v>120</v>
      </c>
      <c r="E1376" t="s">
        <v>8221</v>
      </c>
      <c r="F1376">
        <v>0</v>
      </c>
    </row>
    <row r="1377" spans="2:6" x14ac:dyDescent="0.2">
      <c r="B1377" t="s">
        <v>8219</v>
      </c>
      <c r="C1377">
        <v>120</v>
      </c>
      <c r="E1377" t="s">
        <v>8221</v>
      </c>
      <c r="F1377">
        <v>0</v>
      </c>
    </row>
    <row r="1378" spans="2:6" x14ac:dyDescent="0.2">
      <c r="B1378" t="s">
        <v>8219</v>
      </c>
      <c r="C1378">
        <v>120</v>
      </c>
      <c r="E1378" t="s">
        <v>8221</v>
      </c>
      <c r="F1378">
        <v>0</v>
      </c>
    </row>
    <row r="1379" spans="2:6" x14ac:dyDescent="0.2">
      <c r="B1379" t="s">
        <v>8219</v>
      </c>
      <c r="C1379">
        <v>120</v>
      </c>
      <c r="E1379" t="s">
        <v>8221</v>
      </c>
      <c r="F1379">
        <v>0</v>
      </c>
    </row>
    <row r="1380" spans="2:6" x14ac:dyDescent="0.2">
      <c r="B1380" t="s">
        <v>8219</v>
      </c>
      <c r="C1380">
        <v>120</v>
      </c>
      <c r="E1380" t="s">
        <v>8221</v>
      </c>
      <c r="F1380">
        <v>0</v>
      </c>
    </row>
    <row r="1381" spans="2:6" x14ac:dyDescent="0.2">
      <c r="B1381" t="s">
        <v>8219</v>
      </c>
      <c r="C1381">
        <v>120</v>
      </c>
      <c r="E1381" t="s">
        <v>8221</v>
      </c>
      <c r="F1381">
        <v>0</v>
      </c>
    </row>
    <row r="1382" spans="2:6" x14ac:dyDescent="0.2">
      <c r="B1382" t="s">
        <v>8219</v>
      </c>
      <c r="C1382">
        <v>120</v>
      </c>
      <c r="E1382" t="s">
        <v>8221</v>
      </c>
      <c r="F1382">
        <v>0</v>
      </c>
    </row>
    <row r="1383" spans="2:6" x14ac:dyDescent="0.2">
      <c r="B1383" t="s">
        <v>8219</v>
      </c>
      <c r="C1383">
        <v>119</v>
      </c>
      <c r="E1383" t="s">
        <v>8221</v>
      </c>
      <c r="F1383">
        <v>0</v>
      </c>
    </row>
    <row r="1384" spans="2:6" x14ac:dyDescent="0.2">
      <c r="B1384" t="s">
        <v>8219</v>
      </c>
      <c r="C1384">
        <v>119</v>
      </c>
      <c r="E1384" t="s">
        <v>8221</v>
      </c>
      <c r="F1384">
        <v>0</v>
      </c>
    </row>
    <row r="1385" spans="2:6" x14ac:dyDescent="0.2">
      <c r="B1385" t="s">
        <v>8219</v>
      </c>
      <c r="C1385">
        <v>119</v>
      </c>
      <c r="E1385" t="s">
        <v>8221</v>
      </c>
      <c r="F1385">
        <v>0</v>
      </c>
    </row>
    <row r="1386" spans="2:6" x14ac:dyDescent="0.2">
      <c r="B1386" t="s">
        <v>8219</v>
      </c>
      <c r="C1386">
        <v>119</v>
      </c>
      <c r="E1386" t="s">
        <v>8221</v>
      </c>
      <c r="F1386">
        <v>0</v>
      </c>
    </row>
    <row r="1387" spans="2:6" x14ac:dyDescent="0.2">
      <c r="B1387" t="s">
        <v>8219</v>
      </c>
      <c r="C1387">
        <v>119</v>
      </c>
      <c r="E1387" t="s">
        <v>8221</v>
      </c>
      <c r="F1387">
        <v>0</v>
      </c>
    </row>
    <row r="1388" spans="2:6" x14ac:dyDescent="0.2">
      <c r="B1388" t="s">
        <v>8219</v>
      </c>
      <c r="C1388">
        <v>119</v>
      </c>
      <c r="E1388" t="s">
        <v>8221</v>
      </c>
      <c r="F1388">
        <v>0</v>
      </c>
    </row>
    <row r="1389" spans="2:6" x14ac:dyDescent="0.2">
      <c r="B1389" t="s">
        <v>8219</v>
      </c>
      <c r="C1389">
        <v>118</v>
      </c>
      <c r="E1389" t="s">
        <v>8221</v>
      </c>
      <c r="F1389">
        <v>0</v>
      </c>
    </row>
    <row r="1390" spans="2:6" x14ac:dyDescent="0.2">
      <c r="B1390" t="s">
        <v>8219</v>
      </c>
      <c r="C1390">
        <v>118</v>
      </c>
      <c r="E1390" t="s">
        <v>8221</v>
      </c>
      <c r="F1390">
        <v>0</v>
      </c>
    </row>
    <row r="1391" spans="2:6" x14ac:dyDescent="0.2">
      <c r="B1391" t="s">
        <v>8219</v>
      </c>
      <c r="C1391">
        <v>118</v>
      </c>
      <c r="E1391" t="s">
        <v>8221</v>
      </c>
      <c r="F1391">
        <v>0</v>
      </c>
    </row>
    <row r="1392" spans="2:6" x14ac:dyDescent="0.2">
      <c r="B1392" t="s">
        <v>8219</v>
      </c>
      <c r="C1392">
        <v>117</v>
      </c>
      <c r="E1392" t="s">
        <v>8221</v>
      </c>
      <c r="F1392">
        <v>0</v>
      </c>
    </row>
    <row r="1393" spans="2:6" x14ac:dyDescent="0.2">
      <c r="B1393" t="s">
        <v>8219</v>
      </c>
      <c r="C1393">
        <v>117</v>
      </c>
      <c r="E1393" t="s">
        <v>8221</v>
      </c>
      <c r="F1393">
        <v>0</v>
      </c>
    </row>
    <row r="1394" spans="2:6" x14ac:dyDescent="0.2">
      <c r="B1394" t="s">
        <v>8219</v>
      </c>
      <c r="C1394">
        <v>117</v>
      </c>
      <c r="E1394" t="s">
        <v>8221</v>
      </c>
      <c r="F1394">
        <v>0</v>
      </c>
    </row>
    <row r="1395" spans="2:6" x14ac:dyDescent="0.2">
      <c r="B1395" t="s">
        <v>8219</v>
      </c>
      <c r="C1395">
        <v>117</v>
      </c>
      <c r="E1395" t="s">
        <v>8221</v>
      </c>
      <c r="F1395">
        <v>0</v>
      </c>
    </row>
    <row r="1396" spans="2:6" x14ac:dyDescent="0.2">
      <c r="B1396" t="s">
        <v>8219</v>
      </c>
      <c r="C1396">
        <v>116</v>
      </c>
      <c r="E1396" t="s">
        <v>8221</v>
      </c>
      <c r="F1396">
        <v>0</v>
      </c>
    </row>
    <row r="1397" spans="2:6" x14ac:dyDescent="0.2">
      <c r="B1397" t="s">
        <v>8219</v>
      </c>
      <c r="C1397">
        <v>116</v>
      </c>
      <c r="E1397" t="s">
        <v>8221</v>
      </c>
      <c r="F1397">
        <v>0</v>
      </c>
    </row>
    <row r="1398" spans="2:6" x14ac:dyDescent="0.2">
      <c r="B1398" t="s">
        <v>8219</v>
      </c>
      <c r="C1398">
        <v>115</v>
      </c>
      <c r="E1398" t="s">
        <v>8221</v>
      </c>
      <c r="F1398">
        <v>0</v>
      </c>
    </row>
    <row r="1399" spans="2:6" x14ac:dyDescent="0.2">
      <c r="B1399" t="s">
        <v>8219</v>
      </c>
      <c r="C1399">
        <v>115</v>
      </c>
      <c r="E1399" t="s">
        <v>8221</v>
      </c>
      <c r="F1399">
        <v>0</v>
      </c>
    </row>
    <row r="1400" spans="2:6" x14ac:dyDescent="0.2">
      <c r="B1400" t="s">
        <v>8219</v>
      </c>
      <c r="C1400">
        <v>115</v>
      </c>
      <c r="E1400" t="s">
        <v>8221</v>
      </c>
      <c r="F1400">
        <v>0</v>
      </c>
    </row>
    <row r="1401" spans="2:6" x14ac:dyDescent="0.2">
      <c r="B1401" t="s">
        <v>8219</v>
      </c>
      <c r="C1401">
        <v>115</v>
      </c>
      <c r="E1401" t="s">
        <v>8221</v>
      </c>
      <c r="F1401">
        <v>0</v>
      </c>
    </row>
    <row r="1402" spans="2:6" x14ac:dyDescent="0.2">
      <c r="B1402" t="s">
        <v>8219</v>
      </c>
      <c r="C1402">
        <v>115</v>
      </c>
      <c r="E1402" t="s">
        <v>8221</v>
      </c>
      <c r="F1402">
        <v>0</v>
      </c>
    </row>
    <row r="1403" spans="2:6" x14ac:dyDescent="0.2">
      <c r="B1403" t="s">
        <v>8219</v>
      </c>
      <c r="C1403">
        <v>115</v>
      </c>
      <c r="E1403" t="s">
        <v>8221</v>
      </c>
      <c r="F1403">
        <v>0</v>
      </c>
    </row>
    <row r="1404" spans="2:6" x14ac:dyDescent="0.2">
      <c r="B1404" t="s">
        <v>8219</v>
      </c>
      <c r="C1404">
        <v>115</v>
      </c>
      <c r="E1404" t="s">
        <v>8221</v>
      </c>
      <c r="F1404">
        <v>0</v>
      </c>
    </row>
    <row r="1405" spans="2:6" x14ac:dyDescent="0.2">
      <c r="B1405" t="s">
        <v>8219</v>
      </c>
      <c r="C1405">
        <v>115</v>
      </c>
      <c r="E1405" t="s">
        <v>8221</v>
      </c>
      <c r="F1405">
        <v>0</v>
      </c>
    </row>
    <row r="1406" spans="2:6" hidden="1" x14ac:dyDescent="0.2">
      <c r="B1406" t="s">
        <v>8221</v>
      </c>
      <c r="C1406">
        <v>5</v>
      </c>
      <c r="E1406" t="s">
        <v>8221</v>
      </c>
      <c r="F1406">
        <v>0</v>
      </c>
    </row>
    <row r="1407" spans="2:6" hidden="1" x14ac:dyDescent="0.2">
      <c r="B1407" t="s">
        <v>8221</v>
      </c>
      <c r="C1407">
        <v>17</v>
      </c>
      <c r="E1407" t="s">
        <v>8221</v>
      </c>
      <c r="F1407">
        <v>0</v>
      </c>
    </row>
    <row r="1408" spans="2:6" hidden="1" x14ac:dyDescent="0.2">
      <c r="B1408" t="s">
        <v>8221</v>
      </c>
      <c r="C1408">
        <v>3</v>
      </c>
      <c r="E1408" t="s">
        <v>8221</v>
      </c>
      <c r="F1408">
        <v>0</v>
      </c>
    </row>
    <row r="1409" spans="2:6" hidden="1" x14ac:dyDescent="0.2">
      <c r="B1409" t="s">
        <v>8221</v>
      </c>
      <c r="C1409">
        <v>2</v>
      </c>
      <c r="E1409" t="s">
        <v>8221</v>
      </c>
      <c r="F1409">
        <v>0</v>
      </c>
    </row>
    <row r="1410" spans="2:6" hidden="1" x14ac:dyDescent="0.2">
      <c r="B1410" t="s">
        <v>8221</v>
      </c>
      <c r="C1410">
        <v>6</v>
      </c>
      <c r="E1410" t="s">
        <v>8221</v>
      </c>
      <c r="F1410">
        <v>0</v>
      </c>
    </row>
    <row r="1411" spans="2:6" hidden="1" x14ac:dyDescent="0.2">
      <c r="B1411" t="s">
        <v>8221</v>
      </c>
      <c r="C1411">
        <v>0</v>
      </c>
      <c r="E1411" t="s">
        <v>8221</v>
      </c>
      <c r="F1411">
        <v>0</v>
      </c>
    </row>
    <row r="1412" spans="2:6" hidden="1" x14ac:dyDescent="0.2">
      <c r="B1412" t="s">
        <v>8221</v>
      </c>
      <c r="C1412">
        <v>1</v>
      </c>
      <c r="E1412" t="s">
        <v>8221</v>
      </c>
      <c r="F1412">
        <v>0</v>
      </c>
    </row>
    <row r="1413" spans="2:6" hidden="1" x14ac:dyDescent="0.2">
      <c r="B1413" t="s">
        <v>8221</v>
      </c>
      <c r="C1413">
        <v>3</v>
      </c>
      <c r="E1413" t="s">
        <v>8221</v>
      </c>
      <c r="F1413">
        <v>0</v>
      </c>
    </row>
    <row r="1414" spans="2:6" hidden="1" x14ac:dyDescent="0.2">
      <c r="B1414" t="s">
        <v>8221</v>
      </c>
      <c r="C1414">
        <v>13</v>
      </c>
      <c r="E1414" t="s">
        <v>8221</v>
      </c>
      <c r="F1414">
        <v>0</v>
      </c>
    </row>
    <row r="1415" spans="2:6" hidden="1" x14ac:dyDescent="0.2">
      <c r="B1415" t="s">
        <v>8221</v>
      </c>
      <c r="C1415">
        <v>1</v>
      </c>
      <c r="E1415" t="s">
        <v>8221</v>
      </c>
      <c r="F1415">
        <v>0</v>
      </c>
    </row>
    <row r="1416" spans="2:6" hidden="1" x14ac:dyDescent="0.2">
      <c r="B1416" t="s">
        <v>8221</v>
      </c>
      <c r="C1416">
        <v>1</v>
      </c>
      <c r="E1416" t="s">
        <v>8221</v>
      </c>
      <c r="F1416">
        <v>0</v>
      </c>
    </row>
    <row r="1417" spans="2:6" hidden="1" x14ac:dyDescent="0.2">
      <c r="B1417" t="s">
        <v>8221</v>
      </c>
      <c r="C1417">
        <v>9</v>
      </c>
      <c r="E1417" t="s">
        <v>8221</v>
      </c>
      <c r="F1417">
        <v>0</v>
      </c>
    </row>
    <row r="1418" spans="2:6" hidden="1" x14ac:dyDescent="0.2">
      <c r="B1418" t="s">
        <v>8221</v>
      </c>
      <c r="C1418">
        <v>0</v>
      </c>
      <c r="E1418" t="s">
        <v>8221</v>
      </c>
      <c r="F1418">
        <v>0</v>
      </c>
    </row>
    <row r="1419" spans="2:6" hidden="1" x14ac:dyDescent="0.2">
      <c r="B1419" t="s">
        <v>8221</v>
      </c>
      <c r="C1419">
        <v>2</v>
      </c>
      <c r="E1419" t="s">
        <v>8221</v>
      </c>
      <c r="F1419">
        <v>0</v>
      </c>
    </row>
    <row r="1420" spans="2:6" hidden="1" x14ac:dyDescent="0.2">
      <c r="B1420" t="s">
        <v>8221</v>
      </c>
      <c r="C1420">
        <v>1</v>
      </c>
      <c r="E1420" t="s">
        <v>8221</v>
      </c>
      <c r="F1420">
        <v>0</v>
      </c>
    </row>
    <row r="1421" spans="2:6" hidden="1" x14ac:dyDescent="0.2">
      <c r="B1421" t="s">
        <v>8221</v>
      </c>
      <c r="C1421">
        <v>10</v>
      </c>
      <c r="E1421" t="s">
        <v>8221</v>
      </c>
      <c r="F1421">
        <v>0</v>
      </c>
    </row>
    <row r="1422" spans="2:6" hidden="1" x14ac:dyDescent="0.2">
      <c r="B1422" t="s">
        <v>8221</v>
      </c>
      <c r="C1422">
        <v>3</v>
      </c>
      <c r="E1422" t="s">
        <v>8221</v>
      </c>
      <c r="F1422">
        <v>0</v>
      </c>
    </row>
    <row r="1423" spans="2:6" hidden="1" x14ac:dyDescent="0.2">
      <c r="B1423" t="s">
        <v>8221</v>
      </c>
      <c r="C1423">
        <v>2</v>
      </c>
      <c r="E1423" t="s">
        <v>8221</v>
      </c>
      <c r="F1423">
        <v>0</v>
      </c>
    </row>
    <row r="1424" spans="2:6" hidden="1" x14ac:dyDescent="0.2">
      <c r="B1424" t="s">
        <v>8221</v>
      </c>
      <c r="C1424">
        <v>2</v>
      </c>
      <c r="E1424" t="s">
        <v>8221</v>
      </c>
      <c r="F1424">
        <v>0</v>
      </c>
    </row>
    <row r="1425" spans="2:6" hidden="1" x14ac:dyDescent="0.2">
      <c r="B1425" t="s">
        <v>8221</v>
      </c>
      <c r="C1425">
        <v>1</v>
      </c>
      <c r="E1425" t="s">
        <v>8221</v>
      </c>
      <c r="F1425">
        <v>0</v>
      </c>
    </row>
    <row r="1426" spans="2:6" hidden="1" x14ac:dyDescent="0.2">
      <c r="B1426" t="s">
        <v>8221</v>
      </c>
      <c r="C1426">
        <v>14</v>
      </c>
      <c r="E1426" t="s">
        <v>8221</v>
      </c>
      <c r="F1426">
        <v>0</v>
      </c>
    </row>
    <row r="1427" spans="2:6" hidden="1" x14ac:dyDescent="0.2">
      <c r="B1427" t="s">
        <v>8221</v>
      </c>
      <c r="C1427">
        <v>0</v>
      </c>
      <c r="E1427" t="s">
        <v>8221</v>
      </c>
      <c r="F1427">
        <v>0</v>
      </c>
    </row>
    <row r="1428" spans="2:6" hidden="1" x14ac:dyDescent="0.2">
      <c r="B1428" t="s">
        <v>8221</v>
      </c>
      <c r="C1428">
        <v>0</v>
      </c>
      <c r="E1428" t="s">
        <v>8221</v>
      </c>
      <c r="F1428">
        <v>0</v>
      </c>
    </row>
    <row r="1429" spans="2:6" hidden="1" x14ac:dyDescent="0.2">
      <c r="B1429" t="s">
        <v>8221</v>
      </c>
      <c r="C1429">
        <v>4</v>
      </c>
      <c r="E1429" t="s">
        <v>8221</v>
      </c>
      <c r="F1429">
        <v>0</v>
      </c>
    </row>
    <row r="1430" spans="2:6" hidden="1" x14ac:dyDescent="0.2">
      <c r="B1430" t="s">
        <v>8221</v>
      </c>
      <c r="C1430">
        <v>3</v>
      </c>
      <c r="E1430" t="s">
        <v>8221</v>
      </c>
      <c r="F1430">
        <v>0</v>
      </c>
    </row>
    <row r="1431" spans="2:6" hidden="1" x14ac:dyDescent="0.2">
      <c r="B1431" t="s">
        <v>8221</v>
      </c>
      <c r="C1431">
        <v>0</v>
      </c>
      <c r="E1431" t="s">
        <v>8221</v>
      </c>
      <c r="F1431">
        <v>0</v>
      </c>
    </row>
    <row r="1432" spans="2:6" hidden="1" x14ac:dyDescent="0.2">
      <c r="B1432" t="s">
        <v>8221</v>
      </c>
      <c r="C1432">
        <v>5</v>
      </c>
      <c r="E1432" t="s">
        <v>8221</v>
      </c>
      <c r="F1432">
        <v>0</v>
      </c>
    </row>
    <row r="1433" spans="2:6" hidden="1" x14ac:dyDescent="0.2">
      <c r="B1433" t="s">
        <v>8221</v>
      </c>
      <c r="C1433">
        <v>47</v>
      </c>
      <c r="E1433" t="s">
        <v>8221</v>
      </c>
      <c r="F1433">
        <v>0</v>
      </c>
    </row>
    <row r="1434" spans="2:6" hidden="1" x14ac:dyDescent="0.2">
      <c r="B1434" t="s">
        <v>8221</v>
      </c>
      <c r="C1434">
        <v>0</v>
      </c>
      <c r="E1434" t="s">
        <v>8221</v>
      </c>
      <c r="F1434">
        <v>0</v>
      </c>
    </row>
    <row r="1435" spans="2:6" hidden="1" x14ac:dyDescent="0.2">
      <c r="B1435" t="s">
        <v>8221</v>
      </c>
      <c r="C1435">
        <v>10</v>
      </c>
      <c r="E1435" t="s">
        <v>8221</v>
      </c>
      <c r="F1435">
        <v>0</v>
      </c>
    </row>
    <row r="1436" spans="2:6" hidden="1" x14ac:dyDescent="0.2">
      <c r="B1436" t="s">
        <v>8221</v>
      </c>
      <c r="C1436">
        <v>11</v>
      </c>
      <c r="E1436" t="s">
        <v>8221</v>
      </c>
      <c r="F1436">
        <v>0</v>
      </c>
    </row>
    <row r="1437" spans="2:6" hidden="1" x14ac:dyDescent="0.2">
      <c r="B1437" t="s">
        <v>8221</v>
      </c>
      <c r="C1437">
        <v>2</v>
      </c>
      <c r="E1437" t="s">
        <v>8221</v>
      </c>
      <c r="F1437">
        <v>0</v>
      </c>
    </row>
    <row r="1438" spans="2:6" hidden="1" x14ac:dyDescent="0.2">
      <c r="B1438" t="s">
        <v>8221</v>
      </c>
      <c r="C1438">
        <v>2</v>
      </c>
      <c r="E1438" t="s">
        <v>8221</v>
      </c>
      <c r="F1438">
        <v>0</v>
      </c>
    </row>
    <row r="1439" spans="2:6" hidden="1" x14ac:dyDescent="0.2">
      <c r="B1439" t="s">
        <v>8221</v>
      </c>
      <c r="C1439">
        <v>22</v>
      </c>
      <c r="E1439" t="s">
        <v>8221</v>
      </c>
      <c r="F1439">
        <v>0</v>
      </c>
    </row>
    <row r="1440" spans="2:6" hidden="1" x14ac:dyDescent="0.2">
      <c r="B1440" t="s">
        <v>8221</v>
      </c>
      <c r="C1440">
        <v>8</v>
      </c>
      <c r="E1440" t="s">
        <v>8221</v>
      </c>
      <c r="F1440">
        <v>0</v>
      </c>
    </row>
    <row r="1441" spans="2:6" hidden="1" x14ac:dyDescent="0.2">
      <c r="B1441" t="s">
        <v>8221</v>
      </c>
      <c r="C1441">
        <v>6</v>
      </c>
      <c r="E1441" t="s">
        <v>8221</v>
      </c>
      <c r="F1441">
        <v>0</v>
      </c>
    </row>
    <row r="1442" spans="2:6" hidden="1" x14ac:dyDescent="0.2">
      <c r="B1442" t="s">
        <v>8221</v>
      </c>
      <c r="C1442">
        <v>1</v>
      </c>
      <c r="E1442" t="s">
        <v>8221</v>
      </c>
      <c r="F1442">
        <v>0</v>
      </c>
    </row>
    <row r="1443" spans="2:6" hidden="1" x14ac:dyDescent="0.2">
      <c r="B1443" t="s">
        <v>8221</v>
      </c>
      <c r="C1443">
        <v>3</v>
      </c>
      <c r="E1443" t="s">
        <v>8221</v>
      </c>
      <c r="F1443">
        <v>0</v>
      </c>
    </row>
    <row r="1444" spans="2:6" hidden="1" x14ac:dyDescent="0.2">
      <c r="B1444" t="s">
        <v>8221</v>
      </c>
      <c r="C1444">
        <v>0</v>
      </c>
      <c r="E1444" t="s">
        <v>8221</v>
      </c>
      <c r="F1444">
        <v>0</v>
      </c>
    </row>
    <row r="1445" spans="2:6" hidden="1" x14ac:dyDescent="0.2">
      <c r="B1445" t="s">
        <v>8221</v>
      </c>
      <c r="C1445">
        <v>0</v>
      </c>
      <c r="E1445" t="s">
        <v>8221</v>
      </c>
      <c r="F1445">
        <v>0</v>
      </c>
    </row>
    <row r="1446" spans="2:6" hidden="1" x14ac:dyDescent="0.2">
      <c r="B1446" t="s">
        <v>8221</v>
      </c>
      <c r="C1446">
        <v>0</v>
      </c>
      <c r="E1446" t="s">
        <v>8221</v>
      </c>
      <c r="F1446">
        <v>0</v>
      </c>
    </row>
    <row r="1447" spans="2:6" hidden="1" x14ac:dyDescent="0.2">
      <c r="B1447" t="s">
        <v>8221</v>
      </c>
      <c r="C1447">
        <v>0</v>
      </c>
      <c r="E1447" t="s">
        <v>8221</v>
      </c>
      <c r="F1447">
        <v>0</v>
      </c>
    </row>
    <row r="1448" spans="2:6" hidden="1" x14ac:dyDescent="0.2">
      <c r="B1448" t="s">
        <v>8221</v>
      </c>
      <c r="C1448">
        <v>0</v>
      </c>
      <c r="E1448" t="s">
        <v>8221</v>
      </c>
      <c r="F1448">
        <v>0</v>
      </c>
    </row>
    <row r="1449" spans="2:6" hidden="1" x14ac:dyDescent="0.2">
      <c r="B1449" t="s">
        <v>8221</v>
      </c>
      <c r="C1449">
        <v>3</v>
      </c>
      <c r="E1449" t="s">
        <v>8221</v>
      </c>
      <c r="F1449">
        <v>0</v>
      </c>
    </row>
    <row r="1450" spans="2:6" hidden="1" x14ac:dyDescent="0.2">
      <c r="B1450" t="s">
        <v>8221</v>
      </c>
      <c r="C1450">
        <v>0</v>
      </c>
      <c r="E1450" t="s">
        <v>8221</v>
      </c>
      <c r="F1450">
        <v>0</v>
      </c>
    </row>
    <row r="1451" spans="2:6" hidden="1" x14ac:dyDescent="0.2">
      <c r="B1451" t="s">
        <v>8221</v>
      </c>
      <c r="C1451">
        <v>0</v>
      </c>
      <c r="E1451" t="s">
        <v>8221</v>
      </c>
      <c r="F1451">
        <v>0</v>
      </c>
    </row>
    <row r="1452" spans="2:6" hidden="1" x14ac:dyDescent="0.2">
      <c r="B1452" t="s">
        <v>8221</v>
      </c>
      <c r="C1452">
        <v>1</v>
      </c>
      <c r="E1452" t="s">
        <v>8221</v>
      </c>
      <c r="F1452">
        <v>0</v>
      </c>
    </row>
    <row r="1453" spans="2:6" hidden="1" x14ac:dyDescent="0.2">
      <c r="B1453" t="s">
        <v>8220</v>
      </c>
      <c r="C1453">
        <v>2</v>
      </c>
      <c r="E1453" t="s">
        <v>8221</v>
      </c>
      <c r="F1453">
        <v>0</v>
      </c>
    </row>
    <row r="1454" spans="2:6" hidden="1" x14ac:dyDescent="0.2">
      <c r="B1454" t="s">
        <v>8220</v>
      </c>
      <c r="C1454">
        <v>0</v>
      </c>
      <c r="E1454" t="s">
        <v>8221</v>
      </c>
      <c r="F1454">
        <v>0</v>
      </c>
    </row>
    <row r="1455" spans="2:6" hidden="1" x14ac:dyDescent="0.2">
      <c r="B1455" t="s">
        <v>8220</v>
      </c>
      <c r="C1455">
        <v>0</v>
      </c>
      <c r="E1455" t="s">
        <v>8221</v>
      </c>
      <c r="F1455">
        <v>0</v>
      </c>
    </row>
    <row r="1456" spans="2:6" hidden="1" x14ac:dyDescent="0.2">
      <c r="B1456" t="s">
        <v>8220</v>
      </c>
      <c r="C1456">
        <v>1</v>
      </c>
      <c r="E1456" t="s">
        <v>8221</v>
      </c>
      <c r="F1456">
        <v>0</v>
      </c>
    </row>
    <row r="1457" spans="2:6" hidden="1" x14ac:dyDescent="0.2">
      <c r="B1457" t="s">
        <v>8220</v>
      </c>
      <c r="C1457">
        <v>7</v>
      </c>
      <c r="E1457" t="s">
        <v>8221</v>
      </c>
      <c r="F1457">
        <v>0</v>
      </c>
    </row>
    <row r="1458" spans="2:6" hidden="1" x14ac:dyDescent="0.2">
      <c r="B1458" t="s">
        <v>8220</v>
      </c>
      <c r="C1458">
        <v>3</v>
      </c>
      <c r="E1458" t="s">
        <v>8221</v>
      </c>
      <c r="F1458">
        <v>0</v>
      </c>
    </row>
    <row r="1459" spans="2:6" hidden="1" x14ac:dyDescent="0.2">
      <c r="B1459" t="s">
        <v>8220</v>
      </c>
      <c r="C1459">
        <v>0</v>
      </c>
      <c r="E1459" t="s">
        <v>8221</v>
      </c>
      <c r="F1459">
        <v>0</v>
      </c>
    </row>
    <row r="1460" spans="2:6" hidden="1" x14ac:dyDescent="0.2">
      <c r="B1460" t="s">
        <v>8220</v>
      </c>
      <c r="C1460">
        <v>0</v>
      </c>
      <c r="E1460" t="s">
        <v>8221</v>
      </c>
      <c r="F1460">
        <v>0</v>
      </c>
    </row>
    <row r="1461" spans="2:6" hidden="1" x14ac:dyDescent="0.2">
      <c r="B1461" t="s">
        <v>8220</v>
      </c>
      <c r="C1461">
        <v>0</v>
      </c>
      <c r="E1461" t="s">
        <v>8221</v>
      </c>
      <c r="F1461">
        <v>0</v>
      </c>
    </row>
    <row r="1462" spans="2:6" hidden="1" x14ac:dyDescent="0.2">
      <c r="B1462" t="s">
        <v>8220</v>
      </c>
      <c r="C1462">
        <v>0</v>
      </c>
      <c r="E1462" t="s">
        <v>8221</v>
      </c>
      <c r="F1462">
        <v>0</v>
      </c>
    </row>
    <row r="1463" spans="2:6" x14ac:dyDescent="0.2">
      <c r="B1463" t="s">
        <v>8219</v>
      </c>
      <c r="C1463">
        <v>115</v>
      </c>
      <c r="E1463" t="s">
        <v>8221</v>
      </c>
      <c r="F1463">
        <v>0</v>
      </c>
    </row>
    <row r="1464" spans="2:6" x14ac:dyDescent="0.2">
      <c r="B1464" t="s">
        <v>8219</v>
      </c>
      <c r="C1464">
        <v>115</v>
      </c>
      <c r="E1464" t="s">
        <v>8221</v>
      </c>
      <c r="F1464">
        <v>0</v>
      </c>
    </row>
    <row r="1465" spans="2:6" x14ac:dyDescent="0.2">
      <c r="B1465" t="s">
        <v>8219</v>
      </c>
      <c r="C1465">
        <v>114</v>
      </c>
      <c r="E1465" t="s">
        <v>8221</v>
      </c>
      <c r="F1465">
        <v>0</v>
      </c>
    </row>
    <row r="1466" spans="2:6" x14ac:dyDescent="0.2">
      <c r="B1466" t="s">
        <v>8219</v>
      </c>
      <c r="C1466">
        <v>114</v>
      </c>
      <c r="E1466" t="s">
        <v>8221</v>
      </c>
      <c r="F1466">
        <v>0</v>
      </c>
    </row>
    <row r="1467" spans="2:6" x14ac:dyDescent="0.2">
      <c r="B1467" t="s">
        <v>8219</v>
      </c>
      <c r="C1467">
        <v>114</v>
      </c>
      <c r="E1467" t="s">
        <v>8221</v>
      </c>
      <c r="F1467">
        <v>0</v>
      </c>
    </row>
    <row r="1468" spans="2:6" x14ac:dyDescent="0.2">
      <c r="B1468" t="s">
        <v>8219</v>
      </c>
      <c r="C1468">
        <v>113</v>
      </c>
      <c r="E1468" t="s">
        <v>8221</v>
      </c>
      <c r="F1468">
        <v>0</v>
      </c>
    </row>
    <row r="1469" spans="2:6" x14ac:dyDescent="0.2">
      <c r="B1469" t="s">
        <v>8219</v>
      </c>
      <c r="C1469">
        <v>113</v>
      </c>
      <c r="E1469" t="s">
        <v>8221</v>
      </c>
      <c r="F1469">
        <v>0</v>
      </c>
    </row>
    <row r="1470" spans="2:6" x14ac:dyDescent="0.2">
      <c r="B1470" t="s">
        <v>8219</v>
      </c>
      <c r="C1470">
        <v>113</v>
      </c>
      <c r="E1470" t="s">
        <v>8221</v>
      </c>
      <c r="F1470">
        <v>0</v>
      </c>
    </row>
    <row r="1471" spans="2:6" x14ac:dyDescent="0.2">
      <c r="B1471" t="s">
        <v>8219</v>
      </c>
      <c r="C1471">
        <v>113</v>
      </c>
      <c r="E1471" t="s">
        <v>8221</v>
      </c>
      <c r="F1471">
        <v>0</v>
      </c>
    </row>
    <row r="1472" spans="2:6" x14ac:dyDescent="0.2">
      <c r="B1472" t="s">
        <v>8219</v>
      </c>
      <c r="C1472">
        <v>113</v>
      </c>
      <c r="E1472" t="s">
        <v>8221</v>
      </c>
      <c r="F1472">
        <v>0</v>
      </c>
    </row>
    <row r="1473" spans="2:6" x14ac:dyDescent="0.2">
      <c r="B1473" t="s">
        <v>8219</v>
      </c>
      <c r="C1473">
        <v>113</v>
      </c>
      <c r="E1473" t="s">
        <v>8221</v>
      </c>
      <c r="F1473">
        <v>0</v>
      </c>
    </row>
    <row r="1474" spans="2:6" x14ac:dyDescent="0.2">
      <c r="B1474" t="s">
        <v>8219</v>
      </c>
      <c r="C1474">
        <v>113</v>
      </c>
      <c r="E1474" t="s">
        <v>8221</v>
      </c>
      <c r="F1474">
        <v>0</v>
      </c>
    </row>
    <row r="1475" spans="2:6" x14ac:dyDescent="0.2">
      <c r="B1475" t="s">
        <v>8219</v>
      </c>
      <c r="C1475">
        <v>113</v>
      </c>
      <c r="E1475" t="s">
        <v>8221</v>
      </c>
      <c r="F1475">
        <v>0</v>
      </c>
    </row>
    <row r="1476" spans="2:6" x14ac:dyDescent="0.2">
      <c r="B1476" t="s">
        <v>8219</v>
      </c>
      <c r="C1476">
        <v>112</v>
      </c>
      <c r="E1476" t="s">
        <v>8221</v>
      </c>
      <c r="F1476">
        <v>0</v>
      </c>
    </row>
    <row r="1477" spans="2:6" x14ac:dyDescent="0.2">
      <c r="B1477" t="s">
        <v>8219</v>
      </c>
      <c r="C1477">
        <v>112</v>
      </c>
      <c r="E1477" t="s">
        <v>8221</v>
      </c>
      <c r="F1477">
        <v>0</v>
      </c>
    </row>
    <row r="1478" spans="2:6" x14ac:dyDescent="0.2">
      <c r="B1478" t="s">
        <v>8219</v>
      </c>
      <c r="C1478">
        <v>112</v>
      </c>
      <c r="E1478" t="s">
        <v>8221</v>
      </c>
      <c r="F1478">
        <v>0</v>
      </c>
    </row>
    <row r="1479" spans="2:6" x14ac:dyDescent="0.2">
      <c r="B1479" t="s">
        <v>8219</v>
      </c>
      <c r="C1479">
        <v>112</v>
      </c>
      <c r="E1479" t="s">
        <v>8221</v>
      </c>
      <c r="F1479">
        <v>0</v>
      </c>
    </row>
    <row r="1480" spans="2:6" x14ac:dyDescent="0.2">
      <c r="B1480" t="s">
        <v>8219</v>
      </c>
      <c r="C1480">
        <v>112</v>
      </c>
      <c r="E1480" t="s">
        <v>8221</v>
      </c>
      <c r="F1480">
        <v>0</v>
      </c>
    </row>
    <row r="1481" spans="2:6" x14ac:dyDescent="0.2">
      <c r="B1481" t="s">
        <v>8219</v>
      </c>
      <c r="C1481">
        <v>111</v>
      </c>
      <c r="E1481" t="s">
        <v>8221</v>
      </c>
      <c r="F1481">
        <v>0</v>
      </c>
    </row>
    <row r="1482" spans="2:6" x14ac:dyDescent="0.2">
      <c r="B1482" t="s">
        <v>8219</v>
      </c>
      <c r="C1482">
        <v>111</v>
      </c>
      <c r="E1482" t="s">
        <v>8221</v>
      </c>
      <c r="F1482">
        <v>0</v>
      </c>
    </row>
    <row r="1483" spans="2:6" hidden="1" x14ac:dyDescent="0.2">
      <c r="B1483" t="s">
        <v>8221</v>
      </c>
      <c r="C1483">
        <v>6</v>
      </c>
      <c r="E1483" t="s">
        <v>8221</v>
      </c>
      <c r="F1483">
        <v>0</v>
      </c>
    </row>
    <row r="1484" spans="2:6" hidden="1" x14ac:dyDescent="0.2">
      <c r="B1484" t="s">
        <v>8221</v>
      </c>
      <c r="C1484">
        <v>1</v>
      </c>
      <c r="E1484" t="s">
        <v>8221</v>
      </c>
      <c r="F1484">
        <v>0</v>
      </c>
    </row>
    <row r="1485" spans="2:6" hidden="1" x14ac:dyDescent="0.2">
      <c r="B1485" t="s">
        <v>8221</v>
      </c>
      <c r="C1485">
        <v>2</v>
      </c>
      <c r="E1485" t="s">
        <v>8221</v>
      </c>
      <c r="F1485">
        <v>0</v>
      </c>
    </row>
    <row r="1486" spans="2:6" hidden="1" x14ac:dyDescent="0.2">
      <c r="B1486" t="s">
        <v>8221</v>
      </c>
      <c r="C1486">
        <v>0</v>
      </c>
      <c r="E1486" t="s">
        <v>8221</v>
      </c>
      <c r="F1486">
        <v>0</v>
      </c>
    </row>
    <row r="1487" spans="2:6" hidden="1" x14ac:dyDescent="0.2">
      <c r="B1487" t="s">
        <v>8221</v>
      </c>
      <c r="C1487">
        <v>3</v>
      </c>
      <c r="E1487" t="s">
        <v>8221</v>
      </c>
      <c r="F1487">
        <v>0</v>
      </c>
    </row>
    <row r="1488" spans="2:6" hidden="1" x14ac:dyDescent="0.2">
      <c r="B1488" t="s">
        <v>8221</v>
      </c>
      <c r="C1488">
        <v>3</v>
      </c>
      <c r="E1488" t="s">
        <v>8221</v>
      </c>
      <c r="F1488">
        <v>0</v>
      </c>
    </row>
    <row r="1489" spans="2:6" hidden="1" x14ac:dyDescent="0.2">
      <c r="B1489" t="s">
        <v>8221</v>
      </c>
      <c r="C1489">
        <v>0</v>
      </c>
      <c r="E1489" t="s">
        <v>8221</v>
      </c>
      <c r="F1489">
        <v>0</v>
      </c>
    </row>
    <row r="1490" spans="2:6" hidden="1" x14ac:dyDescent="0.2">
      <c r="B1490" t="s">
        <v>8221</v>
      </c>
      <c r="C1490">
        <v>6</v>
      </c>
      <c r="E1490" t="s">
        <v>8221</v>
      </c>
      <c r="F1490">
        <v>0</v>
      </c>
    </row>
    <row r="1491" spans="2:6" hidden="1" x14ac:dyDescent="0.2">
      <c r="B1491" t="s">
        <v>8221</v>
      </c>
      <c r="C1491">
        <v>0</v>
      </c>
      <c r="E1491" t="s">
        <v>8221</v>
      </c>
      <c r="F1491">
        <v>0</v>
      </c>
    </row>
    <row r="1492" spans="2:6" hidden="1" x14ac:dyDescent="0.2">
      <c r="B1492" t="s">
        <v>8221</v>
      </c>
      <c r="C1492">
        <v>19</v>
      </c>
      <c r="E1492" t="s">
        <v>8221</v>
      </c>
      <c r="F1492">
        <v>0</v>
      </c>
    </row>
    <row r="1493" spans="2:6" hidden="1" x14ac:dyDescent="0.2">
      <c r="B1493" t="s">
        <v>8221</v>
      </c>
      <c r="C1493">
        <v>1</v>
      </c>
      <c r="E1493" t="s">
        <v>8221</v>
      </c>
      <c r="F1493">
        <v>0</v>
      </c>
    </row>
    <row r="1494" spans="2:6" hidden="1" x14ac:dyDescent="0.2">
      <c r="B1494" t="s">
        <v>8221</v>
      </c>
      <c r="C1494">
        <v>2</v>
      </c>
      <c r="E1494" t="s">
        <v>8221</v>
      </c>
      <c r="F1494">
        <v>0</v>
      </c>
    </row>
    <row r="1495" spans="2:6" hidden="1" x14ac:dyDescent="0.2">
      <c r="B1495" t="s">
        <v>8221</v>
      </c>
      <c r="C1495">
        <v>0</v>
      </c>
      <c r="E1495" t="s">
        <v>8221</v>
      </c>
      <c r="F1495">
        <v>0</v>
      </c>
    </row>
    <row r="1496" spans="2:6" hidden="1" x14ac:dyDescent="0.2">
      <c r="B1496" t="s">
        <v>8221</v>
      </c>
      <c r="C1496">
        <v>11</v>
      </c>
      <c r="E1496" t="s">
        <v>8221</v>
      </c>
      <c r="F1496">
        <v>0</v>
      </c>
    </row>
    <row r="1497" spans="2:6" hidden="1" x14ac:dyDescent="0.2">
      <c r="B1497" t="s">
        <v>8221</v>
      </c>
      <c r="C1497">
        <v>0</v>
      </c>
      <c r="E1497" t="s">
        <v>8221</v>
      </c>
      <c r="F1497">
        <v>0</v>
      </c>
    </row>
    <row r="1498" spans="2:6" hidden="1" x14ac:dyDescent="0.2">
      <c r="B1498" t="s">
        <v>8221</v>
      </c>
      <c r="C1498">
        <v>0</v>
      </c>
      <c r="E1498" t="s">
        <v>8221</v>
      </c>
      <c r="F1498">
        <v>0</v>
      </c>
    </row>
    <row r="1499" spans="2:6" hidden="1" x14ac:dyDescent="0.2">
      <c r="B1499" t="s">
        <v>8221</v>
      </c>
      <c r="C1499">
        <v>1</v>
      </c>
      <c r="E1499" t="s">
        <v>8221</v>
      </c>
      <c r="F1499">
        <v>0</v>
      </c>
    </row>
    <row r="1500" spans="2:6" hidden="1" x14ac:dyDescent="0.2">
      <c r="B1500" t="s">
        <v>8221</v>
      </c>
      <c r="C1500">
        <v>3</v>
      </c>
      <c r="E1500" t="s">
        <v>8221</v>
      </c>
      <c r="F1500">
        <v>0</v>
      </c>
    </row>
    <row r="1501" spans="2:6" hidden="1" x14ac:dyDescent="0.2">
      <c r="B1501" t="s">
        <v>8221</v>
      </c>
      <c r="C1501">
        <v>1</v>
      </c>
      <c r="E1501" t="s">
        <v>8221</v>
      </c>
      <c r="F1501">
        <v>0</v>
      </c>
    </row>
    <row r="1502" spans="2:6" hidden="1" x14ac:dyDescent="0.2">
      <c r="B1502" t="s">
        <v>8221</v>
      </c>
      <c r="C1502">
        <v>15</v>
      </c>
      <c r="E1502" t="s">
        <v>8221</v>
      </c>
      <c r="F1502">
        <v>0</v>
      </c>
    </row>
    <row r="1503" spans="2:6" x14ac:dyDescent="0.2">
      <c r="B1503" t="s">
        <v>8219</v>
      </c>
      <c r="C1503">
        <v>111</v>
      </c>
      <c r="E1503" t="s">
        <v>8221</v>
      </c>
      <c r="F1503">
        <v>0</v>
      </c>
    </row>
    <row r="1504" spans="2:6" x14ac:dyDescent="0.2">
      <c r="B1504" t="s">
        <v>8219</v>
      </c>
      <c r="C1504">
        <v>111</v>
      </c>
      <c r="E1504" t="s">
        <v>8221</v>
      </c>
      <c r="F1504">
        <v>0</v>
      </c>
    </row>
    <row r="1505" spans="2:6" x14ac:dyDescent="0.2">
      <c r="B1505" t="s">
        <v>8219</v>
      </c>
      <c r="C1505">
        <v>111</v>
      </c>
      <c r="E1505" t="s">
        <v>8221</v>
      </c>
      <c r="F1505">
        <v>0</v>
      </c>
    </row>
    <row r="1506" spans="2:6" x14ac:dyDescent="0.2">
      <c r="B1506" t="s">
        <v>8219</v>
      </c>
      <c r="C1506">
        <v>111</v>
      </c>
      <c r="E1506" t="s">
        <v>8221</v>
      </c>
      <c r="F1506">
        <v>0</v>
      </c>
    </row>
    <row r="1507" spans="2:6" x14ac:dyDescent="0.2">
      <c r="B1507" t="s">
        <v>8219</v>
      </c>
      <c r="C1507">
        <v>111</v>
      </c>
      <c r="E1507" t="s">
        <v>8221</v>
      </c>
      <c r="F1507">
        <v>0</v>
      </c>
    </row>
    <row r="1508" spans="2:6" x14ac:dyDescent="0.2">
      <c r="B1508" t="s">
        <v>8219</v>
      </c>
      <c r="C1508">
        <v>110</v>
      </c>
      <c r="E1508" t="s">
        <v>8221</v>
      </c>
      <c r="F1508">
        <v>0</v>
      </c>
    </row>
    <row r="1509" spans="2:6" x14ac:dyDescent="0.2">
      <c r="B1509" t="s">
        <v>8219</v>
      </c>
      <c r="C1509">
        <v>110</v>
      </c>
      <c r="E1509" t="s">
        <v>8221</v>
      </c>
      <c r="F1509">
        <v>0</v>
      </c>
    </row>
    <row r="1510" spans="2:6" x14ac:dyDescent="0.2">
      <c r="B1510" t="s">
        <v>8219</v>
      </c>
      <c r="C1510">
        <v>110</v>
      </c>
      <c r="E1510" t="s">
        <v>8221</v>
      </c>
      <c r="F1510">
        <v>0</v>
      </c>
    </row>
    <row r="1511" spans="2:6" x14ac:dyDescent="0.2">
      <c r="B1511" t="s">
        <v>8219</v>
      </c>
      <c r="C1511">
        <v>110</v>
      </c>
      <c r="E1511" t="s">
        <v>8221</v>
      </c>
      <c r="F1511">
        <v>0</v>
      </c>
    </row>
    <row r="1512" spans="2:6" x14ac:dyDescent="0.2">
      <c r="B1512" t="s">
        <v>8219</v>
      </c>
      <c r="C1512">
        <v>109</v>
      </c>
      <c r="E1512" t="s">
        <v>8221</v>
      </c>
      <c r="F1512">
        <v>0</v>
      </c>
    </row>
    <row r="1513" spans="2:6" x14ac:dyDescent="0.2">
      <c r="B1513" t="s">
        <v>8219</v>
      </c>
      <c r="C1513">
        <v>109</v>
      </c>
      <c r="E1513" t="s">
        <v>8221</v>
      </c>
      <c r="F1513">
        <v>0</v>
      </c>
    </row>
    <row r="1514" spans="2:6" x14ac:dyDescent="0.2">
      <c r="B1514" t="s">
        <v>8219</v>
      </c>
      <c r="C1514">
        <v>109</v>
      </c>
      <c r="E1514" t="s">
        <v>8221</v>
      </c>
      <c r="F1514">
        <v>0</v>
      </c>
    </row>
    <row r="1515" spans="2:6" x14ac:dyDescent="0.2">
      <c r="B1515" t="s">
        <v>8219</v>
      </c>
      <c r="C1515">
        <v>108</v>
      </c>
      <c r="E1515" t="s">
        <v>8221</v>
      </c>
      <c r="F1515">
        <v>0</v>
      </c>
    </row>
    <row r="1516" spans="2:6" x14ac:dyDescent="0.2">
      <c r="B1516" t="s">
        <v>8219</v>
      </c>
      <c r="C1516">
        <v>108</v>
      </c>
      <c r="E1516" t="s">
        <v>8221</v>
      </c>
      <c r="F1516">
        <v>0</v>
      </c>
    </row>
    <row r="1517" spans="2:6" x14ac:dyDescent="0.2">
      <c r="B1517" t="s">
        <v>8219</v>
      </c>
      <c r="C1517">
        <v>108</v>
      </c>
      <c r="E1517" t="s">
        <v>8221</v>
      </c>
      <c r="F1517">
        <v>0</v>
      </c>
    </row>
    <row r="1518" spans="2:6" x14ac:dyDescent="0.2">
      <c r="B1518" t="s">
        <v>8219</v>
      </c>
      <c r="C1518">
        <v>108</v>
      </c>
      <c r="E1518" t="s">
        <v>8221</v>
      </c>
      <c r="F1518">
        <v>0</v>
      </c>
    </row>
    <row r="1519" spans="2:6" x14ac:dyDescent="0.2">
      <c r="B1519" t="s">
        <v>8219</v>
      </c>
      <c r="C1519">
        <v>108</v>
      </c>
      <c r="E1519" t="s">
        <v>8221</v>
      </c>
      <c r="F1519">
        <v>0</v>
      </c>
    </row>
    <row r="1520" spans="2:6" x14ac:dyDescent="0.2">
      <c r="B1520" t="s">
        <v>8219</v>
      </c>
      <c r="C1520">
        <v>108</v>
      </c>
      <c r="E1520" t="s">
        <v>8221</v>
      </c>
      <c r="F1520">
        <v>0</v>
      </c>
    </row>
    <row r="1521" spans="2:6" x14ac:dyDescent="0.2">
      <c r="B1521" t="s">
        <v>8219</v>
      </c>
      <c r="C1521">
        <v>108</v>
      </c>
      <c r="E1521" t="s">
        <v>8221</v>
      </c>
      <c r="F1521">
        <v>0</v>
      </c>
    </row>
    <row r="1522" spans="2:6" x14ac:dyDescent="0.2">
      <c r="B1522" t="s">
        <v>8219</v>
      </c>
      <c r="C1522">
        <v>108</v>
      </c>
      <c r="E1522" t="s">
        <v>8221</v>
      </c>
      <c r="F1522">
        <v>0</v>
      </c>
    </row>
    <row r="1523" spans="2:6" x14ac:dyDescent="0.2">
      <c r="B1523" t="s">
        <v>8219</v>
      </c>
      <c r="C1523">
        <v>108</v>
      </c>
      <c r="E1523" t="s">
        <v>8221</v>
      </c>
      <c r="F1523">
        <v>0</v>
      </c>
    </row>
    <row r="1524" spans="2:6" x14ac:dyDescent="0.2">
      <c r="B1524" t="s">
        <v>8219</v>
      </c>
      <c r="C1524">
        <v>108</v>
      </c>
      <c r="E1524" t="s">
        <v>8221</v>
      </c>
      <c r="F1524">
        <v>0</v>
      </c>
    </row>
    <row r="1525" spans="2:6" x14ac:dyDescent="0.2">
      <c r="B1525" t="s">
        <v>8219</v>
      </c>
      <c r="C1525">
        <v>108</v>
      </c>
      <c r="E1525" t="s">
        <v>8221</v>
      </c>
      <c r="F1525">
        <v>0</v>
      </c>
    </row>
    <row r="1526" spans="2:6" x14ac:dyDescent="0.2">
      <c r="B1526" t="s">
        <v>8219</v>
      </c>
      <c r="C1526">
        <v>107</v>
      </c>
      <c r="E1526" t="s">
        <v>8221</v>
      </c>
      <c r="F1526">
        <v>0</v>
      </c>
    </row>
    <row r="1527" spans="2:6" x14ac:dyDescent="0.2">
      <c r="B1527" t="s">
        <v>8219</v>
      </c>
      <c r="C1527">
        <v>107</v>
      </c>
      <c r="E1527" t="s">
        <v>8221</v>
      </c>
      <c r="F1527">
        <v>0</v>
      </c>
    </row>
    <row r="1528" spans="2:6" x14ac:dyDescent="0.2">
      <c r="B1528" t="s">
        <v>8219</v>
      </c>
      <c r="C1528">
        <v>107</v>
      </c>
      <c r="E1528" t="s">
        <v>8221</v>
      </c>
      <c r="F1528">
        <v>0</v>
      </c>
    </row>
    <row r="1529" spans="2:6" x14ac:dyDescent="0.2">
      <c r="B1529" t="s">
        <v>8219</v>
      </c>
      <c r="C1529">
        <v>107</v>
      </c>
      <c r="E1529" t="s">
        <v>8221</v>
      </c>
      <c r="F1529">
        <v>0</v>
      </c>
    </row>
    <row r="1530" spans="2:6" x14ac:dyDescent="0.2">
      <c r="B1530" t="s">
        <v>8219</v>
      </c>
      <c r="C1530">
        <v>107</v>
      </c>
      <c r="E1530" t="s">
        <v>8221</v>
      </c>
      <c r="F1530">
        <v>0</v>
      </c>
    </row>
    <row r="1531" spans="2:6" x14ac:dyDescent="0.2">
      <c r="B1531" t="s">
        <v>8219</v>
      </c>
      <c r="C1531">
        <v>107</v>
      </c>
      <c r="E1531" t="s">
        <v>8221</v>
      </c>
      <c r="F1531">
        <v>0</v>
      </c>
    </row>
    <row r="1532" spans="2:6" x14ac:dyDescent="0.2">
      <c r="B1532" t="s">
        <v>8219</v>
      </c>
      <c r="C1532">
        <v>107</v>
      </c>
    </row>
    <row r="1533" spans="2:6" x14ac:dyDescent="0.2">
      <c r="B1533" t="s">
        <v>8219</v>
      </c>
      <c r="C1533">
        <v>106</v>
      </c>
    </row>
    <row r="1534" spans="2:6" x14ac:dyDescent="0.2">
      <c r="B1534" t="s">
        <v>8219</v>
      </c>
      <c r="C1534">
        <v>105</v>
      </c>
    </row>
    <row r="1535" spans="2:6" x14ac:dyDescent="0.2">
      <c r="B1535" t="s">
        <v>8219</v>
      </c>
      <c r="C1535">
        <v>105</v>
      </c>
    </row>
    <row r="1536" spans="2:6" x14ac:dyDescent="0.2">
      <c r="B1536" t="s">
        <v>8219</v>
      </c>
      <c r="C1536">
        <v>105</v>
      </c>
    </row>
    <row r="1537" spans="2:3" x14ac:dyDescent="0.2">
      <c r="B1537" t="s">
        <v>8219</v>
      </c>
      <c r="C1537">
        <v>105</v>
      </c>
    </row>
    <row r="1538" spans="2:3" x14ac:dyDescent="0.2">
      <c r="B1538" t="s">
        <v>8219</v>
      </c>
      <c r="C1538">
        <v>105</v>
      </c>
    </row>
    <row r="1539" spans="2:3" x14ac:dyDescent="0.2">
      <c r="B1539" t="s">
        <v>8219</v>
      </c>
      <c r="C1539">
        <v>104</v>
      </c>
    </row>
    <row r="1540" spans="2:3" x14ac:dyDescent="0.2">
      <c r="B1540" t="s">
        <v>8219</v>
      </c>
      <c r="C1540">
        <v>104</v>
      </c>
    </row>
    <row r="1541" spans="2:3" x14ac:dyDescent="0.2">
      <c r="B1541" t="s">
        <v>8219</v>
      </c>
      <c r="C1541">
        <v>104</v>
      </c>
    </row>
    <row r="1542" spans="2:3" x14ac:dyDescent="0.2">
      <c r="B1542" t="s">
        <v>8219</v>
      </c>
      <c r="C1542">
        <v>104</v>
      </c>
    </row>
    <row r="1543" spans="2:3" hidden="1" x14ac:dyDescent="0.2">
      <c r="B1543" t="s">
        <v>8221</v>
      </c>
      <c r="C1543">
        <v>2</v>
      </c>
    </row>
    <row r="1544" spans="2:3" hidden="1" x14ac:dyDescent="0.2">
      <c r="B1544" t="s">
        <v>8221</v>
      </c>
      <c r="C1544">
        <v>1</v>
      </c>
    </row>
    <row r="1545" spans="2:3" hidden="1" x14ac:dyDescent="0.2">
      <c r="B1545" t="s">
        <v>8221</v>
      </c>
      <c r="C1545">
        <v>1</v>
      </c>
    </row>
    <row r="1546" spans="2:3" hidden="1" x14ac:dyDescent="0.2">
      <c r="B1546" t="s">
        <v>8221</v>
      </c>
      <c r="C1546">
        <v>0</v>
      </c>
    </row>
    <row r="1547" spans="2:3" hidden="1" x14ac:dyDescent="0.2">
      <c r="B1547" t="s">
        <v>8221</v>
      </c>
      <c r="C1547">
        <v>1</v>
      </c>
    </row>
    <row r="1548" spans="2:3" hidden="1" x14ac:dyDescent="0.2">
      <c r="B1548" t="s">
        <v>8221</v>
      </c>
      <c r="C1548">
        <v>11</v>
      </c>
    </row>
    <row r="1549" spans="2:3" hidden="1" x14ac:dyDescent="0.2">
      <c r="B1549" t="s">
        <v>8221</v>
      </c>
      <c r="C1549">
        <v>0</v>
      </c>
    </row>
    <row r="1550" spans="2:3" hidden="1" x14ac:dyDescent="0.2">
      <c r="B1550" t="s">
        <v>8221</v>
      </c>
      <c r="C1550">
        <v>1</v>
      </c>
    </row>
    <row r="1551" spans="2:3" hidden="1" x14ac:dyDescent="0.2">
      <c r="B1551" t="s">
        <v>8221</v>
      </c>
      <c r="C1551">
        <v>6</v>
      </c>
    </row>
    <row r="1552" spans="2:3" hidden="1" x14ac:dyDescent="0.2">
      <c r="B1552" t="s">
        <v>8221</v>
      </c>
      <c r="C1552">
        <v>7</v>
      </c>
    </row>
    <row r="1553" spans="2:3" hidden="1" x14ac:dyDescent="0.2">
      <c r="B1553" t="s">
        <v>8221</v>
      </c>
      <c r="C1553">
        <v>0</v>
      </c>
    </row>
    <row r="1554" spans="2:3" hidden="1" x14ac:dyDescent="0.2">
      <c r="B1554" t="s">
        <v>8221</v>
      </c>
      <c r="C1554">
        <v>16</v>
      </c>
    </row>
    <row r="1555" spans="2:3" hidden="1" x14ac:dyDescent="0.2">
      <c r="B1555" t="s">
        <v>8221</v>
      </c>
      <c r="C1555">
        <v>0</v>
      </c>
    </row>
    <row r="1556" spans="2:3" hidden="1" x14ac:dyDescent="0.2">
      <c r="B1556" t="s">
        <v>8221</v>
      </c>
      <c r="C1556">
        <v>0</v>
      </c>
    </row>
    <row r="1557" spans="2:3" hidden="1" x14ac:dyDescent="0.2">
      <c r="B1557" t="s">
        <v>8221</v>
      </c>
      <c r="C1557">
        <v>0</v>
      </c>
    </row>
    <row r="1558" spans="2:3" hidden="1" x14ac:dyDescent="0.2">
      <c r="B1558" t="s">
        <v>8221</v>
      </c>
      <c r="C1558">
        <v>12</v>
      </c>
    </row>
    <row r="1559" spans="2:3" hidden="1" x14ac:dyDescent="0.2">
      <c r="B1559" t="s">
        <v>8221</v>
      </c>
      <c r="C1559">
        <v>1</v>
      </c>
    </row>
    <row r="1560" spans="2:3" hidden="1" x14ac:dyDescent="0.2">
      <c r="B1560" t="s">
        <v>8221</v>
      </c>
      <c r="C1560">
        <v>3</v>
      </c>
    </row>
    <row r="1561" spans="2:3" hidden="1" x14ac:dyDescent="0.2">
      <c r="B1561" t="s">
        <v>8221</v>
      </c>
      <c r="C1561">
        <v>1</v>
      </c>
    </row>
    <row r="1562" spans="2:3" hidden="1" x14ac:dyDescent="0.2">
      <c r="B1562" t="s">
        <v>8221</v>
      </c>
      <c r="C1562">
        <v>4</v>
      </c>
    </row>
    <row r="1563" spans="2:3" hidden="1" x14ac:dyDescent="0.2">
      <c r="B1563" t="s">
        <v>8220</v>
      </c>
      <c r="C1563">
        <v>1</v>
      </c>
    </row>
    <row r="1564" spans="2:3" hidden="1" x14ac:dyDescent="0.2">
      <c r="B1564" t="s">
        <v>8220</v>
      </c>
      <c r="C1564">
        <v>0</v>
      </c>
    </row>
    <row r="1565" spans="2:3" hidden="1" x14ac:dyDescent="0.2">
      <c r="B1565" t="s">
        <v>8220</v>
      </c>
      <c r="C1565">
        <v>2</v>
      </c>
    </row>
    <row r="1566" spans="2:3" hidden="1" x14ac:dyDescent="0.2">
      <c r="B1566" t="s">
        <v>8220</v>
      </c>
      <c r="C1566">
        <v>1</v>
      </c>
    </row>
    <row r="1567" spans="2:3" hidden="1" x14ac:dyDescent="0.2">
      <c r="B1567" t="s">
        <v>8220</v>
      </c>
      <c r="C1567">
        <v>1</v>
      </c>
    </row>
    <row r="1568" spans="2:3" hidden="1" x14ac:dyDescent="0.2">
      <c r="B1568" t="s">
        <v>8220</v>
      </c>
      <c r="C1568">
        <v>59</v>
      </c>
    </row>
    <row r="1569" spans="2:3" hidden="1" x14ac:dyDescent="0.2">
      <c r="B1569" t="s">
        <v>8220</v>
      </c>
      <c r="C1569">
        <v>13</v>
      </c>
    </row>
    <row r="1570" spans="2:3" hidden="1" x14ac:dyDescent="0.2">
      <c r="B1570" t="s">
        <v>8220</v>
      </c>
      <c r="C1570">
        <v>22</v>
      </c>
    </row>
    <row r="1571" spans="2:3" hidden="1" x14ac:dyDescent="0.2">
      <c r="B1571" t="s">
        <v>8220</v>
      </c>
      <c r="C1571">
        <v>0</v>
      </c>
    </row>
    <row r="1572" spans="2:3" hidden="1" x14ac:dyDescent="0.2">
      <c r="B1572" t="s">
        <v>8220</v>
      </c>
      <c r="C1572">
        <v>52</v>
      </c>
    </row>
    <row r="1573" spans="2:3" hidden="1" x14ac:dyDescent="0.2">
      <c r="B1573" t="s">
        <v>8220</v>
      </c>
      <c r="C1573">
        <v>4</v>
      </c>
    </row>
    <row r="1574" spans="2:3" hidden="1" x14ac:dyDescent="0.2">
      <c r="B1574" t="s">
        <v>8220</v>
      </c>
      <c r="C1574">
        <v>3</v>
      </c>
    </row>
    <row r="1575" spans="2:3" hidden="1" x14ac:dyDescent="0.2">
      <c r="B1575" t="s">
        <v>8220</v>
      </c>
      <c r="C1575">
        <v>3</v>
      </c>
    </row>
    <row r="1576" spans="2:3" hidden="1" x14ac:dyDescent="0.2">
      <c r="B1576" t="s">
        <v>8220</v>
      </c>
      <c r="C1576">
        <v>6</v>
      </c>
    </row>
    <row r="1577" spans="2:3" hidden="1" x14ac:dyDescent="0.2">
      <c r="B1577" t="s">
        <v>8220</v>
      </c>
      <c r="C1577">
        <v>35</v>
      </c>
    </row>
    <row r="1578" spans="2:3" hidden="1" x14ac:dyDescent="0.2">
      <c r="B1578" t="s">
        <v>8220</v>
      </c>
      <c r="C1578">
        <v>10</v>
      </c>
    </row>
    <row r="1579" spans="2:3" hidden="1" x14ac:dyDescent="0.2">
      <c r="B1579" t="s">
        <v>8220</v>
      </c>
      <c r="C1579">
        <v>2</v>
      </c>
    </row>
    <row r="1580" spans="2:3" hidden="1" x14ac:dyDescent="0.2">
      <c r="B1580" t="s">
        <v>8220</v>
      </c>
      <c r="C1580">
        <v>4</v>
      </c>
    </row>
    <row r="1581" spans="2:3" hidden="1" x14ac:dyDescent="0.2">
      <c r="B1581" t="s">
        <v>8220</v>
      </c>
      <c r="C1581">
        <v>2</v>
      </c>
    </row>
    <row r="1582" spans="2:3" hidden="1" x14ac:dyDescent="0.2">
      <c r="B1582" t="s">
        <v>8220</v>
      </c>
      <c r="C1582">
        <v>0</v>
      </c>
    </row>
    <row r="1583" spans="2:3" hidden="1" x14ac:dyDescent="0.2">
      <c r="B1583" t="s">
        <v>8221</v>
      </c>
      <c r="C1583">
        <v>1</v>
      </c>
    </row>
    <row r="1584" spans="2:3" hidden="1" x14ac:dyDescent="0.2">
      <c r="B1584" t="s">
        <v>8221</v>
      </c>
      <c r="C1584">
        <v>3</v>
      </c>
    </row>
    <row r="1585" spans="2:3" hidden="1" x14ac:dyDescent="0.2">
      <c r="B1585" t="s">
        <v>8221</v>
      </c>
      <c r="C1585">
        <v>1</v>
      </c>
    </row>
    <row r="1586" spans="2:3" hidden="1" x14ac:dyDescent="0.2">
      <c r="B1586" t="s">
        <v>8221</v>
      </c>
      <c r="C1586">
        <v>0</v>
      </c>
    </row>
    <row r="1587" spans="2:3" hidden="1" x14ac:dyDescent="0.2">
      <c r="B1587" t="s">
        <v>8221</v>
      </c>
      <c r="C1587">
        <v>12</v>
      </c>
    </row>
    <row r="1588" spans="2:3" hidden="1" x14ac:dyDescent="0.2">
      <c r="B1588" t="s">
        <v>8221</v>
      </c>
      <c r="C1588">
        <v>0</v>
      </c>
    </row>
    <row r="1589" spans="2:3" hidden="1" x14ac:dyDescent="0.2">
      <c r="B1589" t="s">
        <v>8221</v>
      </c>
      <c r="C1589">
        <v>1</v>
      </c>
    </row>
    <row r="1590" spans="2:3" hidden="1" x14ac:dyDescent="0.2">
      <c r="B1590" t="s">
        <v>8221</v>
      </c>
      <c r="C1590">
        <v>0</v>
      </c>
    </row>
    <row r="1591" spans="2:3" hidden="1" x14ac:dyDescent="0.2">
      <c r="B1591" t="s">
        <v>8221</v>
      </c>
      <c r="C1591">
        <v>0</v>
      </c>
    </row>
    <row r="1592" spans="2:3" hidden="1" x14ac:dyDescent="0.2">
      <c r="B1592" t="s">
        <v>8221</v>
      </c>
      <c r="C1592">
        <v>2</v>
      </c>
    </row>
    <row r="1593" spans="2:3" hidden="1" x14ac:dyDescent="0.2">
      <c r="B1593" t="s">
        <v>8221</v>
      </c>
      <c r="C1593">
        <v>92</v>
      </c>
    </row>
    <row r="1594" spans="2:3" hidden="1" x14ac:dyDescent="0.2">
      <c r="B1594" t="s">
        <v>8221</v>
      </c>
      <c r="C1594">
        <v>0</v>
      </c>
    </row>
    <row r="1595" spans="2:3" hidden="1" x14ac:dyDescent="0.2">
      <c r="B1595" t="s">
        <v>8221</v>
      </c>
      <c r="C1595">
        <v>3</v>
      </c>
    </row>
    <row r="1596" spans="2:3" hidden="1" x14ac:dyDescent="0.2">
      <c r="B1596" t="s">
        <v>8221</v>
      </c>
      <c r="C1596">
        <v>10</v>
      </c>
    </row>
    <row r="1597" spans="2:3" hidden="1" x14ac:dyDescent="0.2">
      <c r="B1597" t="s">
        <v>8221</v>
      </c>
      <c r="C1597">
        <v>7</v>
      </c>
    </row>
    <row r="1598" spans="2:3" hidden="1" x14ac:dyDescent="0.2">
      <c r="B1598" t="s">
        <v>8221</v>
      </c>
      <c r="C1598">
        <v>3</v>
      </c>
    </row>
    <row r="1599" spans="2:3" hidden="1" x14ac:dyDescent="0.2">
      <c r="B1599" t="s">
        <v>8221</v>
      </c>
      <c r="C1599">
        <v>0</v>
      </c>
    </row>
    <row r="1600" spans="2:3" hidden="1" x14ac:dyDescent="0.2">
      <c r="B1600" t="s">
        <v>8221</v>
      </c>
      <c r="C1600">
        <v>1</v>
      </c>
    </row>
    <row r="1601" spans="2:3" hidden="1" x14ac:dyDescent="0.2">
      <c r="B1601" t="s">
        <v>8221</v>
      </c>
      <c r="C1601">
        <v>0</v>
      </c>
    </row>
    <row r="1602" spans="2:3" hidden="1" x14ac:dyDescent="0.2">
      <c r="B1602" t="s">
        <v>8221</v>
      </c>
      <c r="C1602">
        <v>9</v>
      </c>
    </row>
    <row r="1603" spans="2:3" x14ac:dyDescent="0.2">
      <c r="B1603" t="s">
        <v>8219</v>
      </c>
      <c r="C1603">
        <v>104</v>
      </c>
    </row>
    <row r="1604" spans="2:3" x14ac:dyDescent="0.2">
      <c r="B1604" t="s">
        <v>8219</v>
      </c>
      <c r="C1604">
        <v>104</v>
      </c>
    </row>
    <row r="1605" spans="2:3" x14ac:dyDescent="0.2">
      <c r="B1605" t="s">
        <v>8219</v>
      </c>
      <c r="C1605">
        <v>104</v>
      </c>
    </row>
    <row r="1606" spans="2:3" x14ac:dyDescent="0.2">
      <c r="B1606" t="s">
        <v>8219</v>
      </c>
      <c r="C1606">
        <v>104</v>
      </c>
    </row>
    <row r="1607" spans="2:3" x14ac:dyDescent="0.2">
      <c r="B1607" t="s">
        <v>8219</v>
      </c>
      <c r="C1607">
        <v>104</v>
      </c>
    </row>
    <row r="1608" spans="2:3" x14ac:dyDescent="0.2">
      <c r="B1608" t="s">
        <v>8219</v>
      </c>
      <c r="C1608">
        <v>104</v>
      </c>
    </row>
    <row r="1609" spans="2:3" x14ac:dyDescent="0.2">
      <c r="B1609" t="s">
        <v>8219</v>
      </c>
      <c r="C1609">
        <v>104</v>
      </c>
    </row>
    <row r="1610" spans="2:3" x14ac:dyDescent="0.2">
      <c r="B1610" t="s">
        <v>8219</v>
      </c>
      <c r="C1610">
        <v>104</v>
      </c>
    </row>
    <row r="1611" spans="2:3" x14ac:dyDescent="0.2">
      <c r="B1611" t="s">
        <v>8219</v>
      </c>
      <c r="C1611">
        <v>104</v>
      </c>
    </row>
    <row r="1612" spans="2:3" x14ac:dyDescent="0.2">
      <c r="B1612" t="s">
        <v>8219</v>
      </c>
      <c r="C1612">
        <v>104</v>
      </c>
    </row>
    <row r="1613" spans="2:3" x14ac:dyDescent="0.2">
      <c r="B1613" t="s">
        <v>8219</v>
      </c>
      <c r="C1613">
        <v>103</v>
      </c>
    </row>
    <row r="1614" spans="2:3" x14ac:dyDescent="0.2">
      <c r="B1614" t="s">
        <v>8219</v>
      </c>
      <c r="C1614">
        <v>103</v>
      </c>
    </row>
    <row r="1615" spans="2:3" x14ac:dyDescent="0.2">
      <c r="B1615" t="s">
        <v>8219</v>
      </c>
      <c r="C1615">
        <v>103</v>
      </c>
    </row>
    <row r="1616" spans="2:3" x14ac:dyDescent="0.2">
      <c r="B1616" t="s">
        <v>8219</v>
      </c>
      <c r="C1616">
        <v>103</v>
      </c>
    </row>
    <row r="1617" spans="2:3" x14ac:dyDescent="0.2">
      <c r="B1617" t="s">
        <v>8219</v>
      </c>
      <c r="C1617">
        <v>103</v>
      </c>
    </row>
    <row r="1618" spans="2:3" x14ac:dyDescent="0.2">
      <c r="B1618" t="s">
        <v>8219</v>
      </c>
      <c r="C1618">
        <v>103</v>
      </c>
    </row>
    <row r="1619" spans="2:3" x14ac:dyDescent="0.2">
      <c r="B1619" t="s">
        <v>8219</v>
      </c>
      <c r="C1619">
        <v>102</v>
      </c>
    </row>
    <row r="1620" spans="2:3" x14ac:dyDescent="0.2">
      <c r="B1620" t="s">
        <v>8219</v>
      </c>
      <c r="C1620">
        <v>102</v>
      </c>
    </row>
    <row r="1621" spans="2:3" x14ac:dyDescent="0.2">
      <c r="B1621" t="s">
        <v>8219</v>
      </c>
      <c r="C1621">
        <v>102</v>
      </c>
    </row>
    <row r="1622" spans="2:3" x14ac:dyDescent="0.2">
      <c r="B1622" t="s">
        <v>8219</v>
      </c>
      <c r="C1622">
        <v>102</v>
      </c>
    </row>
    <row r="1623" spans="2:3" x14ac:dyDescent="0.2">
      <c r="B1623" t="s">
        <v>8219</v>
      </c>
      <c r="C1623">
        <v>102</v>
      </c>
    </row>
    <row r="1624" spans="2:3" x14ac:dyDescent="0.2">
      <c r="B1624" t="s">
        <v>8219</v>
      </c>
      <c r="C1624">
        <v>101</v>
      </c>
    </row>
    <row r="1625" spans="2:3" x14ac:dyDescent="0.2">
      <c r="B1625" t="s">
        <v>8219</v>
      </c>
      <c r="C1625">
        <v>101</v>
      </c>
    </row>
    <row r="1626" spans="2:3" x14ac:dyDescent="0.2">
      <c r="B1626" t="s">
        <v>8219</v>
      </c>
      <c r="C1626">
        <v>101</v>
      </c>
    </row>
    <row r="1627" spans="2:3" x14ac:dyDescent="0.2">
      <c r="B1627" t="s">
        <v>8219</v>
      </c>
      <c r="C1627">
        <v>101</v>
      </c>
    </row>
    <row r="1628" spans="2:3" x14ac:dyDescent="0.2">
      <c r="B1628" t="s">
        <v>8219</v>
      </c>
      <c r="C1628">
        <v>100</v>
      </c>
    </row>
    <row r="1629" spans="2:3" x14ac:dyDescent="0.2">
      <c r="B1629" t="s">
        <v>8219</v>
      </c>
      <c r="C1629">
        <v>100</v>
      </c>
    </row>
    <row r="1630" spans="2:3" x14ac:dyDescent="0.2">
      <c r="B1630" t="s">
        <v>8219</v>
      </c>
      <c r="C1630">
        <v>100</v>
      </c>
    </row>
    <row r="1631" spans="2:3" x14ac:dyDescent="0.2">
      <c r="B1631" t="s">
        <v>8219</v>
      </c>
      <c r="C1631">
        <v>100</v>
      </c>
    </row>
    <row r="1632" spans="2:3" x14ac:dyDescent="0.2">
      <c r="B1632" t="s">
        <v>8219</v>
      </c>
      <c r="C1632">
        <v>100</v>
      </c>
    </row>
    <row r="1633" spans="2:3" x14ac:dyDescent="0.2">
      <c r="B1633" t="s">
        <v>8219</v>
      </c>
      <c r="C1633">
        <v>100</v>
      </c>
    </row>
    <row r="1634" spans="2:3" x14ac:dyDescent="0.2">
      <c r="B1634" t="s">
        <v>8219</v>
      </c>
      <c r="C1634">
        <v>100</v>
      </c>
    </row>
    <row r="1635" spans="2:3" x14ac:dyDescent="0.2">
      <c r="B1635" t="s">
        <v>8219</v>
      </c>
      <c r="C1635">
        <v>100</v>
      </c>
    </row>
    <row r="1636" spans="2:3" x14ac:dyDescent="0.2">
      <c r="B1636" t="s">
        <v>8219</v>
      </c>
      <c r="C1636">
        <v>99</v>
      </c>
    </row>
    <row r="1637" spans="2:3" x14ac:dyDescent="0.2">
      <c r="B1637" t="s">
        <v>8219</v>
      </c>
      <c r="C1637">
        <v>99</v>
      </c>
    </row>
    <row r="1638" spans="2:3" x14ac:dyDescent="0.2">
      <c r="B1638" t="s">
        <v>8219</v>
      </c>
      <c r="C1638">
        <v>99</v>
      </c>
    </row>
    <row r="1639" spans="2:3" x14ac:dyDescent="0.2">
      <c r="B1639" t="s">
        <v>8219</v>
      </c>
      <c r="C1639">
        <v>99</v>
      </c>
    </row>
    <row r="1640" spans="2:3" x14ac:dyDescent="0.2">
      <c r="B1640" t="s">
        <v>8219</v>
      </c>
      <c r="C1640">
        <v>99</v>
      </c>
    </row>
    <row r="1641" spans="2:3" x14ac:dyDescent="0.2">
      <c r="B1641" t="s">
        <v>8219</v>
      </c>
      <c r="C1641">
        <v>99</v>
      </c>
    </row>
    <row r="1642" spans="2:3" x14ac:dyDescent="0.2">
      <c r="B1642" t="s">
        <v>8219</v>
      </c>
      <c r="C1642">
        <v>99</v>
      </c>
    </row>
    <row r="1643" spans="2:3" x14ac:dyDescent="0.2">
      <c r="B1643" t="s">
        <v>8219</v>
      </c>
      <c r="C1643">
        <v>98</v>
      </c>
    </row>
    <row r="1644" spans="2:3" x14ac:dyDescent="0.2">
      <c r="B1644" t="s">
        <v>8219</v>
      </c>
      <c r="C1644">
        <v>98</v>
      </c>
    </row>
    <row r="1645" spans="2:3" x14ac:dyDescent="0.2">
      <c r="B1645" t="s">
        <v>8219</v>
      </c>
      <c r="C1645">
        <v>98</v>
      </c>
    </row>
    <row r="1646" spans="2:3" x14ac:dyDescent="0.2">
      <c r="B1646" t="s">
        <v>8219</v>
      </c>
      <c r="C1646">
        <v>98</v>
      </c>
    </row>
    <row r="1647" spans="2:3" x14ac:dyDescent="0.2">
      <c r="B1647" t="s">
        <v>8219</v>
      </c>
      <c r="C1647">
        <v>98</v>
      </c>
    </row>
    <row r="1648" spans="2:3" x14ac:dyDescent="0.2">
      <c r="B1648" t="s">
        <v>8219</v>
      </c>
      <c r="C1648">
        <v>98</v>
      </c>
    </row>
    <row r="1649" spans="2:3" x14ac:dyDescent="0.2">
      <c r="B1649" t="s">
        <v>8219</v>
      </c>
      <c r="C1649">
        <v>97</v>
      </c>
    </row>
    <row r="1650" spans="2:3" x14ac:dyDescent="0.2">
      <c r="B1650" t="s">
        <v>8219</v>
      </c>
      <c r="C1650">
        <v>97</v>
      </c>
    </row>
    <row r="1651" spans="2:3" x14ac:dyDescent="0.2">
      <c r="B1651" t="s">
        <v>8219</v>
      </c>
      <c r="C1651">
        <v>97</v>
      </c>
    </row>
    <row r="1652" spans="2:3" x14ac:dyDescent="0.2">
      <c r="B1652" t="s">
        <v>8219</v>
      </c>
      <c r="C1652">
        <v>97</v>
      </c>
    </row>
    <row r="1653" spans="2:3" x14ac:dyDescent="0.2">
      <c r="B1653" t="s">
        <v>8219</v>
      </c>
      <c r="C1653">
        <v>97</v>
      </c>
    </row>
    <row r="1654" spans="2:3" x14ac:dyDescent="0.2">
      <c r="B1654" t="s">
        <v>8219</v>
      </c>
      <c r="C1654">
        <v>97</v>
      </c>
    </row>
    <row r="1655" spans="2:3" x14ac:dyDescent="0.2">
      <c r="B1655" t="s">
        <v>8219</v>
      </c>
      <c r="C1655">
        <v>97</v>
      </c>
    </row>
    <row r="1656" spans="2:3" x14ac:dyDescent="0.2">
      <c r="B1656" t="s">
        <v>8219</v>
      </c>
      <c r="C1656">
        <v>96</v>
      </c>
    </row>
    <row r="1657" spans="2:3" x14ac:dyDescent="0.2">
      <c r="B1657" t="s">
        <v>8219</v>
      </c>
      <c r="C1657">
        <v>96</v>
      </c>
    </row>
    <row r="1658" spans="2:3" x14ac:dyDescent="0.2">
      <c r="B1658" t="s">
        <v>8219</v>
      </c>
      <c r="C1658">
        <v>96</v>
      </c>
    </row>
    <row r="1659" spans="2:3" x14ac:dyDescent="0.2">
      <c r="B1659" t="s">
        <v>8219</v>
      </c>
      <c r="C1659">
        <v>96</v>
      </c>
    </row>
    <row r="1660" spans="2:3" x14ac:dyDescent="0.2">
      <c r="B1660" t="s">
        <v>8219</v>
      </c>
      <c r="C1660">
        <v>96</v>
      </c>
    </row>
    <row r="1661" spans="2:3" x14ac:dyDescent="0.2">
      <c r="B1661" t="s">
        <v>8219</v>
      </c>
      <c r="C1661">
        <v>96</v>
      </c>
    </row>
    <row r="1662" spans="2:3" x14ac:dyDescent="0.2">
      <c r="B1662" t="s">
        <v>8219</v>
      </c>
      <c r="C1662">
        <v>96</v>
      </c>
    </row>
    <row r="1663" spans="2:3" x14ac:dyDescent="0.2">
      <c r="B1663" t="s">
        <v>8219</v>
      </c>
      <c r="C1663">
        <v>96</v>
      </c>
    </row>
    <row r="1664" spans="2:3" x14ac:dyDescent="0.2">
      <c r="B1664" t="s">
        <v>8219</v>
      </c>
      <c r="C1664">
        <v>96</v>
      </c>
    </row>
    <row r="1665" spans="2:3" x14ac:dyDescent="0.2">
      <c r="B1665" t="s">
        <v>8219</v>
      </c>
      <c r="C1665">
        <v>96</v>
      </c>
    </row>
    <row r="1666" spans="2:3" x14ac:dyDescent="0.2">
      <c r="B1666" t="s">
        <v>8219</v>
      </c>
      <c r="C1666">
        <v>95</v>
      </c>
    </row>
    <row r="1667" spans="2:3" x14ac:dyDescent="0.2">
      <c r="B1667" t="s">
        <v>8219</v>
      </c>
      <c r="C1667">
        <v>95</v>
      </c>
    </row>
    <row r="1668" spans="2:3" x14ac:dyDescent="0.2">
      <c r="B1668" t="s">
        <v>8219</v>
      </c>
      <c r="C1668">
        <v>95</v>
      </c>
    </row>
    <row r="1669" spans="2:3" x14ac:dyDescent="0.2">
      <c r="B1669" t="s">
        <v>8219</v>
      </c>
      <c r="C1669">
        <v>95</v>
      </c>
    </row>
    <row r="1670" spans="2:3" x14ac:dyDescent="0.2">
      <c r="B1670" t="s">
        <v>8219</v>
      </c>
      <c r="C1670">
        <v>95</v>
      </c>
    </row>
    <row r="1671" spans="2:3" x14ac:dyDescent="0.2">
      <c r="B1671" t="s">
        <v>8219</v>
      </c>
      <c r="C1671">
        <v>95</v>
      </c>
    </row>
    <row r="1672" spans="2:3" x14ac:dyDescent="0.2">
      <c r="B1672" t="s">
        <v>8219</v>
      </c>
      <c r="C1672">
        <v>95</v>
      </c>
    </row>
    <row r="1673" spans="2:3" x14ac:dyDescent="0.2">
      <c r="B1673" t="s">
        <v>8219</v>
      </c>
      <c r="C1673">
        <v>94</v>
      </c>
    </row>
    <row r="1674" spans="2:3" x14ac:dyDescent="0.2">
      <c r="B1674" t="s">
        <v>8219</v>
      </c>
      <c r="C1674">
        <v>94</v>
      </c>
    </row>
    <row r="1675" spans="2:3" x14ac:dyDescent="0.2">
      <c r="B1675" t="s">
        <v>8219</v>
      </c>
      <c r="C1675">
        <v>94</v>
      </c>
    </row>
    <row r="1676" spans="2:3" x14ac:dyDescent="0.2">
      <c r="B1676" t="s">
        <v>8219</v>
      </c>
      <c r="C1676">
        <v>94</v>
      </c>
    </row>
    <row r="1677" spans="2:3" x14ac:dyDescent="0.2">
      <c r="B1677" t="s">
        <v>8219</v>
      </c>
      <c r="C1677">
        <v>94</v>
      </c>
    </row>
    <row r="1678" spans="2:3" x14ac:dyDescent="0.2">
      <c r="B1678" t="s">
        <v>8219</v>
      </c>
      <c r="C1678">
        <v>94</v>
      </c>
    </row>
    <row r="1679" spans="2:3" x14ac:dyDescent="0.2">
      <c r="B1679" t="s">
        <v>8219</v>
      </c>
      <c r="C1679">
        <v>94</v>
      </c>
    </row>
    <row r="1680" spans="2:3" x14ac:dyDescent="0.2">
      <c r="B1680" t="s">
        <v>8219</v>
      </c>
      <c r="C1680">
        <v>94</v>
      </c>
    </row>
    <row r="1681" spans="2:3" x14ac:dyDescent="0.2">
      <c r="B1681" t="s">
        <v>8219</v>
      </c>
      <c r="C1681">
        <v>93</v>
      </c>
    </row>
    <row r="1682" spans="2:3" x14ac:dyDescent="0.2">
      <c r="B1682" t="s">
        <v>8219</v>
      </c>
      <c r="C1682">
        <v>93</v>
      </c>
    </row>
    <row r="1683" spans="2:3" hidden="1" x14ac:dyDescent="0.2">
      <c r="B1683" t="s">
        <v>8222</v>
      </c>
      <c r="C1683">
        <v>884</v>
      </c>
    </row>
    <row r="1684" spans="2:3" hidden="1" x14ac:dyDescent="0.2">
      <c r="B1684" t="s">
        <v>8222</v>
      </c>
      <c r="C1684">
        <v>0</v>
      </c>
    </row>
    <row r="1685" spans="2:3" hidden="1" x14ac:dyDescent="0.2">
      <c r="B1685" t="s">
        <v>8222</v>
      </c>
      <c r="C1685">
        <v>10</v>
      </c>
    </row>
    <row r="1686" spans="2:3" hidden="1" x14ac:dyDescent="0.2">
      <c r="B1686" t="s">
        <v>8222</v>
      </c>
      <c r="C1686">
        <v>101</v>
      </c>
    </row>
    <row r="1687" spans="2:3" hidden="1" x14ac:dyDescent="0.2">
      <c r="B1687" t="s">
        <v>8222</v>
      </c>
      <c r="C1687">
        <v>15</v>
      </c>
    </row>
    <row r="1688" spans="2:3" hidden="1" x14ac:dyDescent="0.2">
      <c r="B1688" t="s">
        <v>8222</v>
      </c>
      <c r="C1688">
        <v>1</v>
      </c>
    </row>
    <row r="1689" spans="2:3" hidden="1" x14ac:dyDescent="0.2">
      <c r="B1689" t="s">
        <v>8222</v>
      </c>
      <c r="C1689">
        <v>39</v>
      </c>
    </row>
    <row r="1690" spans="2:3" hidden="1" x14ac:dyDescent="0.2">
      <c r="B1690" t="s">
        <v>8222</v>
      </c>
      <c r="C1690">
        <v>7</v>
      </c>
    </row>
    <row r="1691" spans="2:3" hidden="1" x14ac:dyDescent="0.2">
      <c r="B1691" t="s">
        <v>8222</v>
      </c>
      <c r="C1691">
        <v>14</v>
      </c>
    </row>
    <row r="1692" spans="2:3" hidden="1" x14ac:dyDescent="0.2">
      <c r="B1692" t="s">
        <v>8222</v>
      </c>
      <c r="C1692">
        <v>11</v>
      </c>
    </row>
    <row r="1693" spans="2:3" hidden="1" x14ac:dyDescent="0.2">
      <c r="B1693" t="s">
        <v>8222</v>
      </c>
      <c r="C1693">
        <v>38</v>
      </c>
    </row>
    <row r="1694" spans="2:3" hidden="1" x14ac:dyDescent="0.2">
      <c r="B1694" t="s">
        <v>8222</v>
      </c>
      <c r="C1694">
        <v>15</v>
      </c>
    </row>
    <row r="1695" spans="2:3" hidden="1" x14ac:dyDescent="0.2">
      <c r="B1695" t="s">
        <v>8222</v>
      </c>
      <c r="C1695">
        <v>8</v>
      </c>
    </row>
    <row r="1696" spans="2:3" hidden="1" x14ac:dyDescent="0.2">
      <c r="B1696" t="s">
        <v>8222</v>
      </c>
      <c r="C1696">
        <v>1</v>
      </c>
    </row>
    <row r="1697" spans="2:3" hidden="1" x14ac:dyDescent="0.2">
      <c r="B1697" t="s">
        <v>8222</v>
      </c>
      <c r="C1697">
        <v>23</v>
      </c>
    </row>
    <row r="1698" spans="2:3" hidden="1" x14ac:dyDescent="0.2">
      <c r="B1698" t="s">
        <v>8222</v>
      </c>
      <c r="C1698">
        <v>0</v>
      </c>
    </row>
    <row r="1699" spans="2:3" hidden="1" x14ac:dyDescent="0.2">
      <c r="B1699" t="s">
        <v>8222</v>
      </c>
      <c r="C1699">
        <v>22</v>
      </c>
    </row>
    <row r="1700" spans="2:3" hidden="1" x14ac:dyDescent="0.2">
      <c r="B1700" t="s">
        <v>8222</v>
      </c>
      <c r="C1700">
        <v>0</v>
      </c>
    </row>
    <row r="1701" spans="2:3" hidden="1" x14ac:dyDescent="0.2">
      <c r="B1701" t="s">
        <v>8222</v>
      </c>
      <c r="C1701">
        <v>4</v>
      </c>
    </row>
    <row r="1702" spans="2:3" hidden="1" x14ac:dyDescent="0.2">
      <c r="B1702" t="s">
        <v>8222</v>
      </c>
      <c r="C1702">
        <v>79</v>
      </c>
    </row>
    <row r="1703" spans="2:3" hidden="1" x14ac:dyDescent="0.2">
      <c r="B1703" t="s">
        <v>8221</v>
      </c>
      <c r="C1703">
        <v>2</v>
      </c>
    </row>
    <row r="1704" spans="2:3" hidden="1" x14ac:dyDescent="0.2">
      <c r="B1704" t="s">
        <v>8221</v>
      </c>
      <c r="C1704">
        <v>1</v>
      </c>
    </row>
    <row r="1705" spans="2:3" hidden="1" x14ac:dyDescent="0.2">
      <c r="B1705" t="s">
        <v>8221</v>
      </c>
      <c r="C1705">
        <v>2</v>
      </c>
    </row>
    <row r="1706" spans="2:3" hidden="1" x14ac:dyDescent="0.2">
      <c r="B1706" t="s">
        <v>8221</v>
      </c>
      <c r="C1706">
        <v>11</v>
      </c>
    </row>
    <row r="1707" spans="2:3" hidden="1" x14ac:dyDescent="0.2">
      <c r="B1707" t="s">
        <v>8221</v>
      </c>
      <c r="C1707">
        <v>0</v>
      </c>
    </row>
    <row r="1708" spans="2:3" hidden="1" x14ac:dyDescent="0.2">
      <c r="B1708" t="s">
        <v>8221</v>
      </c>
      <c r="C1708">
        <v>0</v>
      </c>
    </row>
    <row r="1709" spans="2:3" hidden="1" x14ac:dyDescent="0.2">
      <c r="B1709" t="s">
        <v>8221</v>
      </c>
      <c r="C1709">
        <v>9</v>
      </c>
    </row>
    <row r="1710" spans="2:3" hidden="1" x14ac:dyDescent="0.2">
      <c r="B1710" t="s">
        <v>8221</v>
      </c>
      <c r="C1710">
        <v>0</v>
      </c>
    </row>
    <row r="1711" spans="2:3" hidden="1" x14ac:dyDescent="0.2">
      <c r="B1711" t="s">
        <v>8221</v>
      </c>
      <c r="C1711">
        <v>4</v>
      </c>
    </row>
    <row r="1712" spans="2:3" hidden="1" x14ac:dyDescent="0.2">
      <c r="B1712" t="s">
        <v>8221</v>
      </c>
      <c r="C1712">
        <v>1</v>
      </c>
    </row>
    <row r="1713" spans="2:3" hidden="1" x14ac:dyDescent="0.2">
      <c r="B1713" t="s">
        <v>8221</v>
      </c>
      <c r="C1713">
        <v>2</v>
      </c>
    </row>
    <row r="1714" spans="2:3" hidden="1" x14ac:dyDescent="0.2">
      <c r="B1714" t="s">
        <v>8221</v>
      </c>
      <c r="C1714">
        <v>0</v>
      </c>
    </row>
    <row r="1715" spans="2:3" hidden="1" x14ac:dyDescent="0.2">
      <c r="B1715" t="s">
        <v>8221</v>
      </c>
      <c r="C1715">
        <v>1</v>
      </c>
    </row>
    <row r="1716" spans="2:3" hidden="1" x14ac:dyDescent="0.2">
      <c r="B1716" t="s">
        <v>8221</v>
      </c>
      <c r="C1716">
        <v>17</v>
      </c>
    </row>
    <row r="1717" spans="2:3" hidden="1" x14ac:dyDescent="0.2">
      <c r="B1717" t="s">
        <v>8221</v>
      </c>
      <c r="C1717">
        <v>2</v>
      </c>
    </row>
    <row r="1718" spans="2:3" hidden="1" x14ac:dyDescent="0.2">
      <c r="B1718" t="s">
        <v>8221</v>
      </c>
      <c r="C1718">
        <v>3</v>
      </c>
    </row>
    <row r="1719" spans="2:3" hidden="1" x14ac:dyDescent="0.2">
      <c r="B1719" t="s">
        <v>8221</v>
      </c>
      <c r="C1719">
        <v>41</v>
      </c>
    </row>
    <row r="1720" spans="2:3" hidden="1" x14ac:dyDescent="0.2">
      <c r="B1720" t="s">
        <v>8221</v>
      </c>
      <c r="C1720">
        <v>2</v>
      </c>
    </row>
    <row r="1721" spans="2:3" hidden="1" x14ac:dyDescent="0.2">
      <c r="B1721" t="s">
        <v>8221</v>
      </c>
      <c r="C1721">
        <v>3</v>
      </c>
    </row>
    <row r="1722" spans="2:3" hidden="1" x14ac:dyDescent="0.2">
      <c r="B1722" t="s">
        <v>8221</v>
      </c>
      <c r="C1722">
        <v>8</v>
      </c>
    </row>
    <row r="1723" spans="2:3" hidden="1" x14ac:dyDescent="0.2">
      <c r="B1723" t="s">
        <v>8221</v>
      </c>
      <c r="C1723">
        <v>0</v>
      </c>
    </row>
    <row r="1724" spans="2:3" hidden="1" x14ac:dyDescent="0.2">
      <c r="B1724" t="s">
        <v>8221</v>
      </c>
      <c r="C1724">
        <v>1</v>
      </c>
    </row>
    <row r="1725" spans="2:3" hidden="1" x14ac:dyDescent="0.2">
      <c r="B1725" t="s">
        <v>8221</v>
      </c>
      <c r="C1725">
        <v>3</v>
      </c>
    </row>
    <row r="1726" spans="2:3" hidden="1" x14ac:dyDescent="0.2">
      <c r="B1726" t="s">
        <v>8221</v>
      </c>
      <c r="C1726">
        <v>4</v>
      </c>
    </row>
    <row r="1727" spans="2:3" hidden="1" x14ac:dyDescent="0.2">
      <c r="B1727" t="s">
        <v>8221</v>
      </c>
      <c r="C1727">
        <v>9</v>
      </c>
    </row>
    <row r="1728" spans="2:3" hidden="1" x14ac:dyDescent="0.2">
      <c r="B1728" t="s">
        <v>8221</v>
      </c>
      <c r="C1728">
        <v>16</v>
      </c>
    </row>
    <row r="1729" spans="2:3" hidden="1" x14ac:dyDescent="0.2">
      <c r="B1729" t="s">
        <v>8221</v>
      </c>
      <c r="C1729">
        <v>1</v>
      </c>
    </row>
    <row r="1730" spans="2:3" hidden="1" x14ac:dyDescent="0.2">
      <c r="B1730" t="s">
        <v>8221</v>
      </c>
      <c r="C1730">
        <v>7</v>
      </c>
    </row>
    <row r="1731" spans="2:3" hidden="1" x14ac:dyDescent="0.2">
      <c r="B1731" t="s">
        <v>8221</v>
      </c>
      <c r="C1731">
        <v>0</v>
      </c>
    </row>
    <row r="1732" spans="2:3" hidden="1" x14ac:dyDescent="0.2">
      <c r="B1732" t="s">
        <v>8221</v>
      </c>
      <c r="C1732">
        <v>0</v>
      </c>
    </row>
    <row r="1733" spans="2:3" hidden="1" x14ac:dyDescent="0.2">
      <c r="B1733" t="s">
        <v>8221</v>
      </c>
      <c r="C1733">
        <v>0</v>
      </c>
    </row>
    <row r="1734" spans="2:3" hidden="1" x14ac:dyDescent="0.2">
      <c r="B1734" t="s">
        <v>8221</v>
      </c>
      <c r="C1734">
        <v>0</v>
      </c>
    </row>
    <row r="1735" spans="2:3" hidden="1" x14ac:dyDescent="0.2">
      <c r="B1735" t="s">
        <v>8221</v>
      </c>
      <c r="C1735">
        <v>0</v>
      </c>
    </row>
    <row r="1736" spans="2:3" hidden="1" x14ac:dyDescent="0.2">
      <c r="B1736" t="s">
        <v>8221</v>
      </c>
      <c r="C1736">
        <v>1</v>
      </c>
    </row>
    <row r="1737" spans="2:3" hidden="1" x14ac:dyDescent="0.2">
      <c r="B1737" t="s">
        <v>8221</v>
      </c>
      <c r="C1737">
        <v>2</v>
      </c>
    </row>
    <row r="1738" spans="2:3" hidden="1" x14ac:dyDescent="0.2">
      <c r="B1738" t="s">
        <v>8221</v>
      </c>
      <c r="C1738">
        <v>1</v>
      </c>
    </row>
    <row r="1739" spans="2:3" hidden="1" x14ac:dyDescent="0.2">
      <c r="B1739" t="s">
        <v>8221</v>
      </c>
      <c r="C1739">
        <v>15</v>
      </c>
    </row>
    <row r="1740" spans="2:3" hidden="1" x14ac:dyDescent="0.2">
      <c r="B1740" t="s">
        <v>8221</v>
      </c>
      <c r="C1740">
        <v>1</v>
      </c>
    </row>
    <row r="1741" spans="2:3" hidden="1" x14ac:dyDescent="0.2">
      <c r="B1741" t="s">
        <v>8221</v>
      </c>
      <c r="C1741">
        <v>1</v>
      </c>
    </row>
    <row r="1742" spans="2:3" hidden="1" x14ac:dyDescent="0.2">
      <c r="B1742" t="s">
        <v>8221</v>
      </c>
      <c r="C1742">
        <v>0</v>
      </c>
    </row>
    <row r="1743" spans="2:3" x14ac:dyDescent="0.2">
      <c r="B1743" t="s">
        <v>8219</v>
      </c>
      <c r="C1743">
        <v>93</v>
      </c>
    </row>
    <row r="1744" spans="2:3" x14ac:dyDescent="0.2">
      <c r="B1744" t="s">
        <v>8219</v>
      </c>
      <c r="C1744">
        <v>93</v>
      </c>
    </row>
    <row r="1745" spans="2:3" x14ac:dyDescent="0.2">
      <c r="B1745" t="s">
        <v>8219</v>
      </c>
      <c r="C1745">
        <v>93</v>
      </c>
    </row>
    <row r="1746" spans="2:3" x14ac:dyDescent="0.2">
      <c r="B1746" t="s">
        <v>8219</v>
      </c>
      <c r="C1746">
        <v>93</v>
      </c>
    </row>
    <row r="1747" spans="2:3" x14ac:dyDescent="0.2">
      <c r="B1747" t="s">
        <v>8219</v>
      </c>
      <c r="C1747">
        <v>92</v>
      </c>
    </row>
    <row r="1748" spans="2:3" x14ac:dyDescent="0.2">
      <c r="B1748" t="s">
        <v>8219</v>
      </c>
      <c r="C1748">
        <v>92</v>
      </c>
    </row>
    <row r="1749" spans="2:3" x14ac:dyDescent="0.2">
      <c r="B1749" t="s">
        <v>8219</v>
      </c>
      <c r="C1749">
        <v>92</v>
      </c>
    </row>
    <row r="1750" spans="2:3" x14ac:dyDescent="0.2">
      <c r="B1750" t="s">
        <v>8219</v>
      </c>
      <c r="C1750">
        <v>91</v>
      </c>
    </row>
    <row r="1751" spans="2:3" x14ac:dyDescent="0.2">
      <c r="B1751" t="s">
        <v>8219</v>
      </c>
      <c r="C1751">
        <v>91</v>
      </c>
    </row>
    <row r="1752" spans="2:3" x14ac:dyDescent="0.2">
      <c r="B1752" t="s">
        <v>8219</v>
      </c>
      <c r="C1752">
        <v>91</v>
      </c>
    </row>
    <row r="1753" spans="2:3" x14ac:dyDescent="0.2">
      <c r="B1753" t="s">
        <v>8219</v>
      </c>
      <c r="C1753">
        <v>91</v>
      </c>
    </row>
    <row r="1754" spans="2:3" x14ac:dyDescent="0.2">
      <c r="B1754" t="s">
        <v>8219</v>
      </c>
      <c r="C1754">
        <v>91</v>
      </c>
    </row>
    <row r="1755" spans="2:3" x14ac:dyDescent="0.2">
      <c r="B1755" t="s">
        <v>8219</v>
      </c>
      <c r="C1755">
        <v>90</v>
      </c>
    </row>
    <row r="1756" spans="2:3" x14ac:dyDescent="0.2">
      <c r="B1756" t="s">
        <v>8219</v>
      </c>
      <c r="C1756">
        <v>90</v>
      </c>
    </row>
    <row r="1757" spans="2:3" x14ac:dyDescent="0.2">
      <c r="B1757" t="s">
        <v>8219</v>
      </c>
      <c r="C1757">
        <v>90</v>
      </c>
    </row>
    <row r="1758" spans="2:3" x14ac:dyDescent="0.2">
      <c r="B1758" t="s">
        <v>8219</v>
      </c>
      <c r="C1758">
        <v>90</v>
      </c>
    </row>
    <row r="1759" spans="2:3" x14ac:dyDescent="0.2">
      <c r="B1759" t="s">
        <v>8219</v>
      </c>
      <c r="C1759">
        <v>90</v>
      </c>
    </row>
    <row r="1760" spans="2:3" x14ac:dyDescent="0.2">
      <c r="B1760" t="s">
        <v>8219</v>
      </c>
      <c r="C1760">
        <v>90</v>
      </c>
    </row>
    <row r="1761" spans="2:3" x14ac:dyDescent="0.2">
      <c r="B1761" t="s">
        <v>8219</v>
      </c>
      <c r="C1761">
        <v>90</v>
      </c>
    </row>
    <row r="1762" spans="2:3" x14ac:dyDescent="0.2">
      <c r="B1762" t="s">
        <v>8219</v>
      </c>
      <c r="C1762">
        <v>90</v>
      </c>
    </row>
    <row r="1763" spans="2:3" x14ac:dyDescent="0.2">
      <c r="B1763" t="s">
        <v>8219</v>
      </c>
      <c r="C1763">
        <v>90</v>
      </c>
    </row>
    <row r="1764" spans="2:3" x14ac:dyDescent="0.2">
      <c r="B1764" t="s">
        <v>8219</v>
      </c>
      <c r="C1764">
        <v>89</v>
      </c>
    </row>
    <row r="1765" spans="2:3" x14ac:dyDescent="0.2">
      <c r="B1765" t="s">
        <v>8219</v>
      </c>
      <c r="C1765">
        <v>89</v>
      </c>
    </row>
    <row r="1766" spans="2:3" hidden="1" x14ac:dyDescent="0.2">
      <c r="B1766" t="s">
        <v>8221</v>
      </c>
      <c r="C1766">
        <v>39</v>
      </c>
    </row>
    <row r="1767" spans="2:3" hidden="1" x14ac:dyDescent="0.2">
      <c r="B1767" t="s">
        <v>8221</v>
      </c>
      <c r="C1767">
        <v>103</v>
      </c>
    </row>
    <row r="1768" spans="2:3" hidden="1" x14ac:dyDescent="0.2">
      <c r="B1768" t="s">
        <v>8221</v>
      </c>
      <c r="C1768">
        <v>0</v>
      </c>
    </row>
    <row r="1769" spans="2:3" hidden="1" x14ac:dyDescent="0.2">
      <c r="B1769" t="s">
        <v>8221</v>
      </c>
      <c r="C1769">
        <v>39</v>
      </c>
    </row>
    <row r="1770" spans="2:3" hidden="1" x14ac:dyDescent="0.2">
      <c r="B1770" t="s">
        <v>8221</v>
      </c>
      <c r="C1770">
        <v>15</v>
      </c>
    </row>
    <row r="1771" spans="2:3" hidden="1" x14ac:dyDescent="0.2">
      <c r="B1771" t="s">
        <v>8221</v>
      </c>
      <c r="C1771">
        <v>22</v>
      </c>
    </row>
    <row r="1772" spans="2:3" hidden="1" x14ac:dyDescent="0.2">
      <c r="B1772" t="s">
        <v>8221</v>
      </c>
      <c r="C1772">
        <v>92</v>
      </c>
    </row>
    <row r="1773" spans="2:3" hidden="1" x14ac:dyDescent="0.2">
      <c r="B1773" t="s">
        <v>8221</v>
      </c>
      <c r="C1773">
        <v>25</v>
      </c>
    </row>
    <row r="1774" spans="2:3" hidden="1" x14ac:dyDescent="0.2">
      <c r="B1774" t="s">
        <v>8221</v>
      </c>
      <c r="C1774">
        <v>19</v>
      </c>
    </row>
    <row r="1775" spans="2:3" hidden="1" x14ac:dyDescent="0.2">
      <c r="B1775" t="s">
        <v>8221</v>
      </c>
      <c r="C1775">
        <v>19</v>
      </c>
    </row>
    <row r="1776" spans="2:3" hidden="1" x14ac:dyDescent="0.2">
      <c r="B1776" t="s">
        <v>8221</v>
      </c>
      <c r="C1776">
        <v>13</v>
      </c>
    </row>
    <row r="1777" spans="2:3" hidden="1" x14ac:dyDescent="0.2">
      <c r="B1777" t="s">
        <v>8221</v>
      </c>
      <c r="C1777">
        <v>124</v>
      </c>
    </row>
    <row r="1778" spans="2:3" hidden="1" x14ac:dyDescent="0.2">
      <c r="B1778" t="s">
        <v>8221</v>
      </c>
      <c r="C1778">
        <v>4</v>
      </c>
    </row>
    <row r="1779" spans="2:3" hidden="1" x14ac:dyDescent="0.2">
      <c r="B1779" t="s">
        <v>8221</v>
      </c>
      <c r="C1779">
        <v>10</v>
      </c>
    </row>
    <row r="1780" spans="2:3" hidden="1" x14ac:dyDescent="0.2">
      <c r="B1780" t="s">
        <v>8221</v>
      </c>
      <c r="C1780">
        <v>15</v>
      </c>
    </row>
    <row r="1781" spans="2:3" hidden="1" x14ac:dyDescent="0.2">
      <c r="B1781" t="s">
        <v>8221</v>
      </c>
      <c r="C1781">
        <v>38</v>
      </c>
    </row>
    <row r="1782" spans="2:3" hidden="1" x14ac:dyDescent="0.2">
      <c r="B1782" t="s">
        <v>8221</v>
      </c>
      <c r="C1782">
        <v>152</v>
      </c>
    </row>
    <row r="1783" spans="2:3" hidden="1" x14ac:dyDescent="0.2">
      <c r="B1783" t="s">
        <v>8221</v>
      </c>
      <c r="C1783">
        <v>24</v>
      </c>
    </row>
    <row r="1784" spans="2:3" hidden="1" x14ac:dyDescent="0.2">
      <c r="B1784" t="s">
        <v>8221</v>
      </c>
      <c r="C1784">
        <v>76</v>
      </c>
    </row>
    <row r="1785" spans="2:3" hidden="1" x14ac:dyDescent="0.2">
      <c r="B1785" t="s">
        <v>8221</v>
      </c>
      <c r="C1785">
        <v>185</v>
      </c>
    </row>
    <row r="1786" spans="2:3" hidden="1" x14ac:dyDescent="0.2">
      <c r="B1786" t="s">
        <v>8221</v>
      </c>
      <c r="C1786">
        <v>33</v>
      </c>
    </row>
    <row r="1787" spans="2:3" hidden="1" x14ac:dyDescent="0.2">
      <c r="B1787" t="s">
        <v>8221</v>
      </c>
      <c r="C1787">
        <v>108</v>
      </c>
    </row>
    <row r="1788" spans="2:3" hidden="1" x14ac:dyDescent="0.2">
      <c r="B1788" t="s">
        <v>8221</v>
      </c>
      <c r="C1788">
        <v>29</v>
      </c>
    </row>
    <row r="1789" spans="2:3" hidden="1" x14ac:dyDescent="0.2">
      <c r="B1789" t="s">
        <v>8221</v>
      </c>
      <c r="C1789">
        <v>24</v>
      </c>
    </row>
    <row r="1790" spans="2:3" hidden="1" x14ac:dyDescent="0.2">
      <c r="B1790" t="s">
        <v>8221</v>
      </c>
      <c r="C1790">
        <v>4</v>
      </c>
    </row>
    <row r="1791" spans="2:3" hidden="1" x14ac:dyDescent="0.2">
      <c r="B1791" t="s">
        <v>8221</v>
      </c>
      <c r="C1791">
        <v>4</v>
      </c>
    </row>
    <row r="1792" spans="2:3" hidden="1" x14ac:dyDescent="0.2">
      <c r="B1792" t="s">
        <v>8221</v>
      </c>
      <c r="C1792">
        <v>15</v>
      </c>
    </row>
    <row r="1793" spans="2:3" hidden="1" x14ac:dyDescent="0.2">
      <c r="B1793" t="s">
        <v>8221</v>
      </c>
      <c r="C1793">
        <v>4</v>
      </c>
    </row>
    <row r="1794" spans="2:3" hidden="1" x14ac:dyDescent="0.2">
      <c r="B1794" t="s">
        <v>8221</v>
      </c>
      <c r="C1794">
        <v>139</v>
      </c>
    </row>
    <row r="1795" spans="2:3" hidden="1" x14ac:dyDescent="0.2">
      <c r="B1795" t="s">
        <v>8221</v>
      </c>
      <c r="C1795">
        <v>2</v>
      </c>
    </row>
    <row r="1796" spans="2:3" hidden="1" x14ac:dyDescent="0.2">
      <c r="B1796" t="s">
        <v>8221</v>
      </c>
      <c r="C1796">
        <v>18</v>
      </c>
    </row>
    <row r="1797" spans="2:3" hidden="1" x14ac:dyDescent="0.2">
      <c r="B1797" t="s">
        <v>8221</v>
      </c>
      <c r="C1797">
        <v>81</v>
      </c>
    </row>
    <row r="1798" spans="2:3" hidden="1" x14ac:dyDescent="0.2">
      <c r="B1798" t="s">
        <v>8221</v>
      </c>
      <c r="C1798">
        <v>86</v>
      </c>
    </row>
    <row r="1799" spans="2:3" hidden="1" x14ac:dyDescent="0.2">
      <c r="B1799" t="s">
        <v>8221</v>
      </c>
      <c r="C1799">
        <v>140</v>
      </c>
    </row>
    <row r="1800" spans="2:3" hidden="1" x14ac:dyDescent="0.2">
      <c r="B1800" t="s">
        <v>8221</v>
      </c>
      <c r="C1800">
        <v>37</v>
      </c>
    </row>
    <row r="1801" spans="2:3" hidden="1" x14ac:dyDescent="0.2">
      <c r="B1801" t="s">
        <v>8221</v>
      </c>
      <c r="C1801">
        <v>6</v>
      </c>
    </row>
    <row r="1802" spans="2:3" hidden="1" x14ac:dyDescent="0.2">
      <c r="B1802" t="s">
        <v>8221</v>
      </c>
      <c r="C1802">
        <v>113</v>
      </c>
    </row>
    <row r="1803" spans="2:3" hidden="1" x14ac:dyDescent="0.2">
      <c r="B1803" t="s">
        <v>8221</v>
      </c>
      <c r="C1803">
        <v>37</v>
      </c>
    </row>
    <row r="1804" spans="2:3" hidden="1" x14ac:dyDescent="0.2">
      <c r="B1804" t="s">
        <v>8221</v>
      </c>
      <c r="C1804">
        <v>18</v>
      </c>
    </row>
    <row r="1805" spans="2:3" hidden="1" x14ac:dyDescent="0.2">
      <c r="B1805" t="s">
        <v>8221</v>
      </c>
      <c r="C1805">
        <v>75</v>
      </c>
    </row>
    <row r="1806" spans="2:3" hidden="1" x14ac:dyDescent="0.2">
      <c r="B1806" t="s">
        <v>8221</v>
      </c>
      <c r="C1806">
        <v>52</v>
      </c>
    </row>
    <row r="1807" spans="2:3" hidden="1" x14ac:dyDescent="0.2">
      <c r="B1807" t="s">
        <v>8221</v>
      </c>
      <c r="C1807">
        <v>122</v>
      </c>
    </row>
    <row r="1808" spans="2:3" hidden="1" x14ac:dyDescent="0.2">
      <c r="B1808" t="s">
        <v>8221</v>
      </c>
      <c r="C1808">
        <v>8</v>
      </c>
    </row>
    <row r="1809" spans="2:3" hidden="1" x14ac:dyDescent="0.2">
      <c r="B1809" t="s">
        <v>8221</v>
      </c>
      <c r="C1809">
        <v>8</v>
      </c>
    </row>
    <row r="1810" spans="2:3" hidden="1" x14ac:dyDescent="0.2">
      <c r="B1810" t="s">
        <v>8221</v>
      </c>
      <c r="C1810">
        <v>96</v>
      </c>
    </row>
    <row r="1811" spans="2:3" hidden="1" x14ac:dyDescent="0.2">
      <c r="B1811" t="s">
        <v>8221</v>
      </c>
      <c r="C1811">
        <v>9</v>
      </c>
    </row>
    <row r="1812" spans="2:3" hidden="1" x14ac:dyDescent="0.2">
      <c r="B1812" t="s">
        <v>8221</v>
      </c>
      <c r="C1812">
        <v>2</v>
      </c>
    </row>
    <row r="1813" spans="2:3" hidden="1" x14ac:dyDescent="0.2">
      <c r="B1813" t="s">
        <v>8221</v>
      </c>
      <c r="C1813">
        <v>26</v>
      </c>
    </row>
    <row r="1814" spans="2:3" hidden="1" x14ac:dyDescent="0.2">
      <c r="B1814" t="s">
        <v>8221</v>
      </c>
      <c r="C1814">
        <v>23</v>
      </c>
    </row>
    <row r="1815" spans="2:3" hidden="1" x14ac:dyDescent="0.2">
      <c r="B1815" t="s">
        <v>8221</v>
      </c>
      <c r="C1815">
        <v>0</v>
      </c>
    </row>
    <row r="1816" spans="2:3" hidden="1" x14ac:dyDescent="0.2">
      <c r="B1816" t="s">
        <v>8221</v>
      </c>
      <c r="C1816">
        <v>140</v>
      </c>
    </row>
    <row r="1817" spans="2:3" hidden="1" x14ac:dyDescent="0.2">
      <c r="B1817" t="s">
        <v>8221</v>
      </c>
      <c r="C1817">
        <v>0</v>
      </c>
    </row>
    <row r="1818" spans="2:3" hidden="1" x14ac:dyDescent="0.2">
      <c r="B1818" t="s">
        <v>8221</v>
      </c>
      <c r="C1818">
        <v>6</v>
      </c>
    </row>
    <row r="1819" spans="2:3" hidden="1" x14ac:dyDescent="0.2">
      <c r="B1819" t="s">
        <v>8221</v>
      </c>
      <c r="C1819">
        <v>100</v>
      </c>
    </row>
    <row r="1820" spans="2:3" hidden="1" x14ac:dyDescent="0.2">
      <c r="B1820" t="s">
        <v>8221</v>
      </c>
      <c r="C1820">
        <v>0</v>
      </c>
    </row>
    <row r="1821" spans="2:3" hidden="1" x14ac:dyDescent="0.2">
      <c r="B1821" t="s">
        <v>8221</v>
      </c>
      <c r="C1821">
        <v>4</v>
      </c>
    </row>
    <row r="1822" spans="2:3" hidden="1" x14ac:dyDescent="0.2">
      <c r="B1822" t="s">
        <v>8221</v>
      </c>
      <c r="C1822">
        <v>8</v>
      </c>
    </row>
    <row r="1823" spans="2:3" x14ac:dyDescent="0.2">
      <c r="B1823" t="s">
        <v>8219</v>
      </c>
      <c r="C1823">
        <v>89</v>
      </c>
    </row>
    <row r="1824" spans="2:3" x14ac:dyDescent="0.2">
      <c r="B1824" t="s">
        <v>8219</v>
      </c>
      <c r="C1824">
        <v>89</v>
      </c>
    </row>
    <row r="1825" spans="2:3" x14ac:dyDescent="0.2">
      <c r="B1825" t="s">
        <v>8219</v>
      </c>
      <c r="C1825">
        <v>89</v>
      </c>
    </row>
    <row r="1826" spans="2:3" x14ac:dyDescent="0.2">
      <c r="B1826" t="s">
        <v>8219</v>
      </c>
      <c r="C1826">
        <v>89</v>
      </c>
    </row>
    <row r="1827" spans="2:3" x14ac:dyDescent="0.2">
      <c r="B1827" t="s">
        <v>8219</v>
      </c>
      <c r="C1827">
        <v>89</v>
      </c>
    </row>
    <row r="1828" spans="2:3" x14ac:dyDescent="0.2">
      <c r="B1828" t="s">
        <v>8219</v>
      </c>
      <c r="C1828">
        <v>89</v>
      </c>
    </row>
    <row r="1829" spans="2:3" x14ac:dyDescent="0.2">
      <c r="B1829" t="s">
        <v>8219</v>
      </c>
      <c r="C1829">
        <v>89</v>
      </c>
    </row>
    <row r="1830" spans="2:3" x14ac:dyDescent="0.2">
      <c r="B1830" t="s">
        <v>8219</v>
      </c>
      <c r="C1830">
        <v>89</v>
      </c>
    </row>
    <row r="1831" spans="2:3" x14ac:dyDescent="0.2">
      <c r="B1831" t="s">
        <v>8219</v>
      </c>
      <c r="C1831">
        <v>89</v>
      </c>
    </row>
    <row r="1832" spans="2:3" x14ac:dyDescent="0.2">
      <c r="B1832" t="s">
        <v>8219</v>
      </c>
      <c r="C1832">
        <v>88</v>
      </c>
    </row>
    <row r="1833" spans="2:3" x14ac:dyDescent="0.2">
      <c r="B1833" t="s">
        <v>8219</v>
      </c>
      <c r="C1833">
        <v>88</v>
      </c>
    </row>
    <row r="1834" spans="2:3" x14ac:dyDescent="0.2">
      <c r="B1834" t="s">
        <v>8219</v>
      </c>
      <c r="C1834">
        <v>88</v>
      </c>
    </row>
    <row r="1835" spans="2:3" x14ac:dyDescent="0.2">
      <c r="B1835" t="s">
        <v>8219</v>
      </c>
      <c r="C1835">
        <v>88</v>
      </c>
    </row>
    <row r="1836" spans="2:3" x14ac:dyDescent="0.2">
      <c r="B1836" t="s">
        <v>8219</v>
      </c>
      <c r="C1836">
        <v>88</v>
      </c>
    </row>
    <row r="1837" spans="2:3" x14ac:dyDescent="0.2">
      <c r="B1837" t="s">
        <v>8219</v>
      </c>
      <c r="C1837">
        <v>88</v>
      </c>
    </row>
    <row r="1838" spans="2:3" x14ac:dyDescent="0.2">
      <c r="B1838" t="s">
        <v>8219</v>
      </c>
      <c r="C1838">
        <v>87</v>
      </c>
    </row>
    <row r="1839" spans="2:3" x14ac:dyDescent="0.2">
      <c r="B1839" t="s">
        <v>8219</v>
      </c>
      <c r="C1839">
        <v>87</v>
      </c>
    </row>
    <row r="1840" spans="2:3" x14ac:dyDescent="0.2">
      <c r="B1840" t="s">
        <v>8219</v>
      </c>
      <c r="C1840">
        <v>87</v>
      </c>
    </row>
    <row r="1841" spans="2:3" x14ac:dyDescent="0.2">
      <c r="B1841" t="s">
        <v>8219</v>
      </c>
      <c r="C1841">
        <v>87</v>
      </c>
    </row>
    <row r="1842" spans="2:3" x14ac:dyDescent="0.2">
      <c r="B1842" t="s">
        <v>8219</v>
      </c>
      <c r="C1842">
        <v>87</v>
      </c>
    </row>
    <row r="1843" spans="2:3" x14ac:dyDescent="0.2">
      <c r="B1843" t="s">
        <v>8219</v>
      </c>
      <c r="C1843">
        <v>87</v>
      </c>
    </row>
    <row r="1844" spans="2:3" x14ac:dyDescent="0.2">
      <c r="B1844" t="s">
        <v>8219</v>
      </c>
      <c r="C1844">
        <v>87</v>
      </c>
    </row>
    <row r="1845" spans="2:3" x14ac:dyDescent="0.2">
      <c r="B1845" t="s">
        <v>8219</v>
      </c>
      <c r="C1845">
        <v>87</v>
      </c>
    </row>
    <row r="1846" spans="2:3" x14ac:dyDescent="0.2">
      <c r="B1846" t="s">
        <v>8219</v>
      </c>
      <c r="C1846">
        <v>87</v>
      </c>
    </row>
    <row r="1847" spans="2:3" x14ac:dyDescent="0.2">
      <c r="B1847" t="s">
        <v>8219</v>
      </c>
      <c r="C1847">
        <v>86</v>
      </c>
    </row>
    <row r="1848" spans="2:3" x14ac:dyDescent="0.2">
      <c r="B1848" t="s">
        <v>8219</v>
      </c>
      <c r="C1848">
        <v>86</v>
      </c>
    </row>
    <row r="1849" spans="2:3" x14ac:dyDescent="0.2">
      <c r="B1849" t="s">
        <v>8219</v>
      </c>
      <c r="C1849">
        <v>86</v>
      </c>
    </row>
    <row r="1850" spans="2:3" x14ac:dyDescent="0.2">
      <c r="B1850" t="s">
        <v>8219</v>
      </c>
      <c r="C1850">
        <v>86</v>
      </c>
    </row>
    <row r="1851" spans="2:3" x14ac:dyDescent="0.2">
      <c r="B1851" t="s">
        <v>8219</v>
      </c>
      <c r="C1851">
        <v>86</v>
      </c>
    </row>
    <row r="1852" spans="2:3" x14ac:dyDescent="0.2">
      <c r="B1852" t="s">
        <v>8219</v>
      </c>
      <c r="C1852">
        <v>86</v>
      </c>
    </row>
    <row r="1853" spans="2:3" x14ac:dyDescent="0.2">
      <c r="B1853" t="s">
        <v>8219</v>
      </c>
      <c r="C1853">
        <v>85</v>
      </c>
    </row>
    <row r="1854" spans="2:3" x14ac:dyDescent="0.2">
      <c r="B1854" t="s">
        <v>8219</v>
      </c>
      <c r="C1854">
        <v>85</v>
      </c>
    </row>
    <row r="1855" spans="2:3" x14ac:dyDescent="0.2">
      <c r="B1855" t="s">
        <v>8219</v>
      </c>
      <c r="C1855">
        <v>85</v>
      </c>
    </row>
    <row r="1856" spans="2:3" x14ac:dyDescent="0.2">
      <c r="B1856" t="s">
        <v>8219</v>
      </c>
      <c r="C1856">
        <v>85</v>
      </c>
    </row>
    <row r="1857" spans="2:3" x14ac:dyDescent="0.2">
      <c r="B1857" t="s">
        <v>8219</v>
      </c>
      <c r="C1857">
        <v>84</v>
      </c>
    </row>
    <row r="1858" spans="2:3" x14ac:dyDescent="0.2">
      <c r="B1858" t="s">
        <v>8219</v>
      </c>
      <c r="C1858">
        <v>84</v>
      </c>
    </row>
    <row r="1859" spans="2:3" x14ac:dyDescent="0.2">
      <c r="B1859" t="s">
        <v>8219</v>
      </c>
      <c r="C1859">
        <v>84</v>
      </c>
    </row>
    <row r="1860" spans="2:3" x14ac:dyDescent="0.2">
      <c r="B1860" t="s">
        <v>8219</v>
      </c>
      <c r="C1860">
        <v>84</v>
      </c>
    </row>
    <row r="1861" spans="2:3" x14ac:dyDescent="0.2">
      <c r="B1861" t="s">
        <v>8219</v>
      </c>
      <c r="C1861">
        <v>84</v>
      </c>
    </row>
    <row r="1862" spans="2:3" x14ac:dyDescent="0.2">
      <c r="B1862" t="s">
        <v>8219</v>
      </c>
      <c r="C1862">
        <v>84</v>
      </c>
    </row>
    <row r="1863" spans="2:3" hidden="1" x14ac:dyDescent="0.2">
      <c r="B1863" t="s">
        <v>8221</v>
      </c>
      <c r="C1863">
        <v>0</v>
      </c>
    </row>
    <row r="1864" spans="2:3" hidden="1" x14ac:dyDescent="0.2">
      <c r="B1864" t="s">
        <v>8221</v>
      </c>
      <c r="C1864">
        <v>16</v>
      </c>
    </row>
    <row r="1865" spans="2:3" hidden="1" x14ac:dyDescent="0.2">
      <c r="B1865" t="s">
        <v>8221</v>
      </c>
      <c r="C1865">
        <v>2</v>
      </c>
    </row>
    <row r="1866" spans="2:3" hidden="1" x14ac:dyDescent="0.2">
      <c r="B1866" t="s">
        <v>8221</v>
      </c>
      <c r="C1866">
        <v>48</v>
      </c>
    </row>
    <row r="1867" spans="2:3" hidden="1" x14ac:dyDescent="0.2">
      <c r="B1867" t="s">
        <v>8221</v>
      </c>
      <c r="C1867">
        <v>2</v>
      </c>
    </row>
    <row r="1868" spans="2:3" hidden="1" x14ac:dyDescent="0.2">
      <c r="B1868" t="s">
        <v>8221</v>
      </c>
      <c r="C1868">
        <v>2</v>
      </c>
    </row>
    <row r="1869" spans="2:3" hidden="1" x14ac:dyDescent="0.2">
      <c r="B1869" t="s">
        <v>8221</v>
      </c>
      <c r="C1869">
        <v>1</v>
      </c>
    </row>
    <row r="1870" spans="2:3" hidden="1" x14ac:dyDescent="0.2">
      <c r="B1870" t="s">
        <v>8221</v>
      </c>
      <c r="C1870">
        <v>17</v>
      </c>
    </row>
    <row r="1871" spans="2:3" hidden="1" x14ac:dyDescent="0.2">
      <c r="B1871" t="s">
        <v>8221</v>
      </c>
      <c r="C1871">
        <v>0</v>
      </c>
    </row>
    <row r="1872" spans="2:3" hidden="1" x14ac:dyDescent="0.2">
      <c r="B1872" t="s">
        <v>8221</v>
      </c>
      <c r="C1872">
        <v>11</v>
      </c>
    </row>
    <row r="1873" spans="2:3" hidden="1" x14ac:dyDescent="0.2">
      <c r="B1873" t="s">
        <v>8221</v>
      </c>
      <c r="C1873">
        <v>95</v>
      </c>
    </row>
    <row r="1874" spans="2:3" hidden="1" x14ac:dyDescent="0.2">
      <c r="B1874" t="s">
        <v>8221</v>
      </c>
      <c r="C1874">
        <v>13</v>
      </c>
    </row>
    <row r="1875" spans="2:3" hidden="1" x14ac:dyDescent="0.2">
      <c r="B1875" t="s">
        <v>8221</v>
      </c>
      <c r="C1875">
        <v>2</v>
      </c>
    </row>
    <row r="1876" spans="2:3" hidden="1" x14ac:dyDescent="0.2">
      <c r="B1876" t="s">
        <v>8221</v>
      </c>
      <c r="C1876">
        <v>2</v>
      </c>
    </row>
    <row r="1877" spans="2:3" hidden="1" x14ac:dyDescent="0.2">
      <c r="B1877" t="s">
        <v>8221</v>
      </c>
      <c r="C1877">
        <v>3</v>
      </c>
    </row>
    <row r="1878" spans="2:3" hidden="1" x14ac:dyDescent="0.2">
      <c r="B1878" t="s">
        <v>8221</v>
      </c>
      <c r="C1878">
        <v>0</v>
      </c>
    </row>
    <row r="1879" spans="2:3" hidden="1" x14ac:dyDescent="0.2">
      <c r="B1879" t="s">
        <v>8221</v>
      </c>
      <c r="C1879">
        <v>0</v>
      </c>
    </row>
    <row r="1880" spans="2:3" hidden="1" x14ac:dyDescent="0.2">
      <c r="B1880" t="s">
        <v>8221</v>
      </c>
      <c r="C1880">
        <v>0</v>
      </c>
    </row>
    <row r="1881" spans="2:3" hidden="1" x14ac:dyDescent="0.2">
      <c r="B1881" t="s">
        <v>8221</v>
      </c>
      <c r="C1881">
        <v>2</v>
      </c>
    </row>
    <row r="1882" spans="2:3" hidden="1" x14ac:dyDescent="0.2">
      <c r="B1882" t="s">
        <v>8221</v>
      </c>
      <c r="C1882">
        <v>24</v>
      </c>
    </row>
    <row r="1883" spans="2:3" x14ac:dyDescent="0.2">
      <c r="B1883" t="s">
        <v>8219</v>
      </c>
      <c r="C1883">
        <v>83</v>
      </c>
    </row>
    <row r="1884" spans="2:3" x14ac:dyDescent="0.2">
      <c r="B1884" t="s">
        <v>8219</v>
      </c>
      <c r="C1884">
        <v>83</v>
      </c>
    </row>
    <row r="1885" spans="2:3" x14ac:dyDescent="0.2">
      <c r="B1885" t="s">
        <v>8219</v>
      </c>
      <c r="C1885">
        <v>83</v>
      </c>
    </row>
    <row r="1886" spans="2:3" x14ac:dyDescent="0.2">
      <c r="B1886" t="s">
        <v>8219</v>
      </c>
      <c r="C1886">
        <v>83</v>
      </c>
    </row>
    <row r="1887" spans="2:3" x14ac:dyDescent="0.2">
      <c r="B1887" t="s">
        <v>8219</v>
      </c>
      <c r="C1887">
        <v>83</v>
      </c>
    </row>
    <row r="1888" spans="2:3" x14ac:dyDescent="0.2">
      <c r="B1888" t="s">
        <v>8219</v>
      </c>
      <c r="C1888">
        <v>83</v>
      </c>
    </row>
    <row r="1889" spans="2:3" x14ac:dyDescent="0.2">
      <c r="B1889" t="s">
        <v>8219</v>
      </c>
      <c r="C1889">
        <v>83</v>
      </c>
    </row>
    <row r="1890" spans="2:3" x14ac:dyDescent="0.2">
      <c r="B1890" t="s">
        <v>8219</v>
      </c>
      <c r="C1890">
        <v>83</v>
      </c>
    </row>
    <row r="1891" spans="2:3" x14ac:dyDescent="0.2">
      <c r="B1891" t="s">
        <v>8219</v>
      </c>
      <c r="C1891">
        <v>82</v>
      </c>
    </row>
    <row r="1892" spans="2:3" x14ac:dyDescent="0.2">
      <c r="B1892" t="s">
        <v>8219</v>
      </c>
      <c r="C1892">
        <v>82</v>
      </c>
    </row>
    <row r="1893" spans="2:3" x14ac:dyDescent="0.2">
      <c r="B1893" t="s">
        <v>8219</v>
      </c>
      <c r="C1893">
        <v>82</v>
      </c>
    </row>
    <row r="1894" spans="2:3" x14ac:dyDescent="0.2">
      <c r="B1894" t="s">
        <v>8219</v>
      </c>
      <c r="C1894">
        <v>82</v>
      </c>
    </row>
    <row r="1895" spans="2:3" x14ac:dyDescent="0.2">
      <c r="B1895" t="s">
        <v>8219</v>
      </c>
      <c r="C1895">
        <v>82</v>
      </c>
    </row>
    <row r="1896" spans="2:3" x14ac:dyDescent="0.2">
      <c r="B1896" t="s">
        <v>8219</v>
      </c>
      <c r="C1896">
        <v>82</v>
      </c>
    </row>
    <row r="1897" spans="2:3" x14ac:dyDescent="0.2">
      <c r="B1897" t="s">
        <v>8219</v>
      </c>
      <c r="C1897">
        <v>82</v>
      </c>
    </row>
    <row r="1898" spans="2:3" x14ac:dyDescent="0.2">
      <c r="B1898" t="s">
        <v>8219</v>
      </c>
      <c r="C1898">
        <v>82</v>
      </c>
    </row>
    <row r="1899" spans="2:3" x14ac:dyDescent="0.2">
      <c r="B1899" t="s">
        <v>8219</v>
      </c>
      <c r="C1899">
        <v>82</v>
      </c>
    </row>
    <row r="1900" spans="2:3" x14ac:dyDescent="0.2">
      <c r="B1900" t="s">
        <v>8219</v>
      </c>
      <c r="C1900">
        <v>81</v>
      </c>
    </row>
    <row r="1901" spans="2:3" x14ac:dyDescent="0.2">
      <c r="B1901" t="s">
        <v>8219</v>
      </c>
      <c r="C1901">
        <v>81</v>
      </c>
    </row>
    <row r="1902" spans="2:3" x14ac:dyDescent="0.2">
      <c r="B1902" t="s">
        <v>8219</v>
      </c>
      <c r="C1902">
        <v>81</v>
      </c>
    </row>
    <row r="1903" spans="2:3" hidden="1" x14ac:dyDescent="0.2">
      <c r="B1903" t="s">
        <v>8221</v>
      </c>
      <c r="C1903">
        <v>25</v>
      </c>
    </row>
    <row r="1904" spans="2:3" hidden="1" x14ac:dyDescent="0.2">
      <c r="B1904" t="s">
        <v>8221</v>
      </c>
      <c r="C1904">
        <v>3</v>
      </c>
    </row>
    <row r="1905" spans="2:3" hidden="1" x14ac:dyDescent="0.2">
      <c r="B1905" t="s">
        <v>8221</v>
      </c>
      <c r="C1905">
        <v>41</v>
      </c>
    </row>
    <row r="1906" spans="2:3" hidden="1" x14ac:dyDescent="0.2">
      <c r="B1906" t="s">
        <v>8221</v>
      </c>
      <c r="C1906">
        <v>2</v>
      </c>
    </row>
    <row r="1907" spans="2:3" hidden="1" x14ac:dyDescent="0.2">
      <c r="B1907" t="s">
        <v>8221</v>
      </c>
      <c r="C1907">
        <v>4</v>
      </c>
    </row>
    <row r="1908" spans="2:3" hidden="1" x14ac:dyDescent="0.2">
      <c r="B1908" t="s">
        <v>8221</v>
      </c>
      <c r="C1908">
        <v>99</v>
      </c>
    </row>
    <row r="1909" spans="2:3" hidden="1" x14ac:dyDescent="0.2">
      <c r="B1909" t="s">
        <v>8221</v>
      </c>
      <c r="C1909">
        <v>4</v>
      </c>
    </row>
    <row r="1910" spans="2:3" hidden="1" x14ac:dyDescent="0.2">
      <c r="B1910" t="s">
        <v>8221</v>
      </c>
      <c r="C1910">
        <v>4</v>
      </c>
    </row>
    <row r="1911" spans="2:3" hidden="1" x14ac:dyDescent="0.2">
      <c r="B1911" t="s">
        <v>8221</v>
      </c>
      <c r="C1911">
        <v>38</v>
      </c>
    </row>
    <row r="1912" spans="2:3" hidden="1" x14ac:dyDescent="0.2">
      <c r="B1912" t="s">
        <v>8221</v>
      </c>
      <c r="C1912">
        <v>285</v>
      </c>
    </row>
    <row r="1913" spans="2:3" hidden="1" x14ac:dyDescent="0.2">
      <c r="B1913" t="s">
        <v>8221</v>
      </c>
      <c r="C1913">
        <v>1</v>
      </c>
    </row>
    <row r="1914" spans="2:3" hidden="1" x14ac:dyDescent="0.2">
      <c r="B1914" t="s">
        <v>8221</v>
      </c>
      <c r="C1914">
        <v>42</v>
      </c>
    </row>
    <row r="1915" spans="2:3" hidden="1" x14ac:dyDescent="0.2">
      <c r="B1915" t="s">
        <v>8221</v>
      </c>
      <c r="C1915">
        <v>26</v>
      </c>
    </row>
    <row r="1916" spans="2:3" hidden="1" x14ac:dyDescent="0.2">
      <c r="B1916" t="s">
        <v>8221</v>
      </c>
      <c r="C1916">
        <v>2</v>
      </c>
    </row>
    <row r="1917" spans="2:3" hidden="1" x14ac:dyDescent="0.2">
      <c r="B1917" t="s">
        <v>8221</v>
      </c>
      <c r="C1917">
        <v>4</v>
      </c>
    </row>
    <row r="1918" spans="2:3" hidden="1" x14ac:dyDescent="0.2">
      <c r="B1918" t="s">
        <v>8221</v>
      </c>
      <c r="C1918">
        <v>6</v>
      </c>
    </row>
    <row r="1919" spans="2:3" hidden="1" x14ac:dyDescent="0.2">
      <c r="B1919" t="s">
        <v>8221</v>
      </c>
      <c r="C1919">
        <v>70</v>
      </c>
    </row>
    <row r="1920" spans="2:3" hidden="1" x14ac:dyDescent="0.2">
      <c r="B1920" t="s">
        <v>8221</v>
      </c>
      <c r="C1920">
        <v>9</v>
      </c>
    </row>
    <row r="1921" spans="2:3" hidden="1" x14ac:dyDescent="0.2">
      <c r="B1921" t="s">
        <v>8221</v>
      </c>
      <c r="C1921">
        <v>8</v>
      </c>
    </row>
    <row r="1922" spans="2:3" hidden="1" x14ac:dyDescent="0.2">
      <c r="B1922" t="s">
        <v>8221</v>
      </c>
      <c r="C1922">
        <v>105</v>
      </c>
    </row>
    <row r="1923" spans="2:3" x14ac:dyDescent="0.2">
      <c r="B1923" t="s">
        <v>8219</v>
      </c>
      <c r="C1923">
        <v>81</v>
      </c>
    </row>
    <row r="1924" spans="2:3" x14ac:dyDescent="0.2">
      <c r="B1924" t="s">
        <v>8219</v>
      </c>
      <c r="C1924">
        <v>81</v>
      </c>
    </row>
    <row r="1925" spans="2:3" x14ac:dyDescent="0.2">
      <c r="B1925" t="s">
        <v>8219</v>
      </c>
      <c r="C1925">
        <v>81</v>
      </c>
    </row>
    <row r="1926" spans="2:3" x14ac:dyDescent="0.2">
      <c r="B1926" t="s">
        <v>8219</v>
      </c>
      <c r="C1926">
        <v>81</v>
      </c>
    </row>
    <row r="1927" spans="2:3" x14ac:dyDescent="0.2">
      <c r="B1927" t="s">
        <v>8219</v>
      </c>
      <c r="C1927">
        <v>81</v>
      </c>
    </row>
    <row r="1928" spans="2:3" x14ac:dyDescent="0.2">
      <c r="B1928" t="s">
        <v>8219</v>
      </c>
      <c r="C1928">
        <v>81</v>
      </c>
    </row>
    <row r="1929" spans="2:3" x14ac:dyDescent="0.2">
      <c r="B1929" t="s">
        <v>8219</v>
      </c>
      <c r="C1929">
        <v>81</v>
      </c>
    </row>
    <row r="1930" spans="2:3" x14ac:dyDescent="0.2">
      <c r="B1930" t="s">
        <v>8219</v>
      </c>
      <c r="C1930">
        <v>80</v>
      </c>
    </row>
    <row r="1931" spans="2:3" x14ac:dyDescent="0.2">
      <c r="B1931" t="s">
        <v>8219</v>
      </c>
      <c r="C1931">
        <v>80</v>
      </c>
    </row>
    <row r="1932" spans="2:3" x14ac:dyDescent="0.2">
      <c r="B1932" t="s">
        <v>8219</v>
      </c>
      <c r="C1932">
        <v>80</v>
      </c>
    </row>
    <row r="1933" spans="2:3" x14ac:dyDescent="0.2">
      <c r="B1933" t="s">
        <v>8219</v>
      </c>
      <c r="C1933">
        <v>80</v>
      </c>
    </row>
    <row r="1934" spans="2:3" x14ac:dyDescent="0.2">
      <c r="B1934" t="s">
        <v>8219</v>
      </c>
      <c r="C1934">
        <v>80</v>
      </c>
    </row>
    <row r="1935" spans="2:3" x14ac:dyDescent="0.2">
      <c r="B1935" t="s">
        <v>8219</v>
      </c>
      <c r="C1935">
        <v>80</v>
      </c>
    </row>
    <row r="1936" spans="2:3" x14ac:dyDescent="0.2">
      <c r="B1936" t="s">
        <v>8219</v>
      </c>
      <c r="C1936">
        <v>80</v>
      </c>
    </row>
    <row r="1937" spans="2:3" x14ac:dyDescent="0.2">
      <c r="B1937" t="s">
        <v>8219</v>
      </c>
      <c r="C1937">
        <v>80</v>
      </c>
    </row>
    <row r="1938" spans="2:3" x14ac:dyDescent="0.2">
      <c r="B1938" t="s">
        <v>8219</v>
      </c>
      <c r="C1938">
        <v>79</v>
      </c>
    </row>
    <row r="1939" spans="2:3" x14ac:dyDescent="0.2">
      <c r="B1939" t="s">
        <v>8219</v>
      </c>
      <c r="C1939">
        <v>79</v>
      </c>
    </row>
    <row r="1940" spans="2:3" x14ac:dyDescent="0.2">
      <c r="B1940" t="s">
        <v>8219</v>
      </c>
      <c r="C1940">
        <v>79</v>
      </c>
    </row>
    <row r="1941" spans="2:3" x14ac:dyDescent="0.2">
      <c r="B1941" t="s">
        <v>8219</v>
      </c>
      <c r="C1941">
        <v>79</v>
      </c>
    </row>
    <row r="1942" spans="2:3" x14ac:dyDescent="0.2">
      <c r="B1942" t="s">
        <v>8219</v>
      </c>
      <c r="C1942">
        <v>79</v>
      </c>
    </row>
    <row r="1943" spans="2:3" x14ac:dyDescent="0.2">
      <c r="B1943" t="s">
        <v>8219</v>
      </c>
      <c r="C1943">
        <v>79</v>
      </c>
    </row>
    <row r="1944" spans="2:3" x14ac:dyDescent="0.2">
      <c r="B1944" t="s">
        <v>8219</v>
      </c>
      <c r="C1944">
        <v>79</v>
      </c>
    </row>
    <row r="1945" spans="2:3" x14ac:dyDescent="0.2">
      <c r="B1945" t="s">
        <v>8219</v>
      </c>
      <c r="C1945">
        <v>79</v>
      </c>
    </row>
    <row r="1946" spans="2:3" x14ac:dyDescent="0.2">
      <c r="B1946" t="s">
        <v>8219</v>
      </c>
      <c r="C1946">
        <v>79</v>
      </c>
    </row>
    <row r="1947" spans="2:3" x14ac:dyDescent="0.2">
      <c r="B1947" t="s">
        <v>8219</v>
      </c>
      <c r="C1947">
        <v>79</v>
      </c>
    </row>
    <row r="1948" spans="2:3" x14ac:dyDescent="0.2">
      <c r="B1948" t="s">
        <v>8219</v>
      </c>
      <c r="C1948">
        <v>79</v>
      </c>
    </row>
    <row r="1949" spans="2:3" x14ac:dyDescent="0.2">
      <c r="B1949" t="s">
        <v>8219</v>
      </c>
      <c r="C1949">
        <v>78</v>
      </c>
    </row>
    <row r="1950" spans="2:3" x14ac:dyDescent="0.2">
      <c r="B1950" t="s">
        <v>8219</v>
      </c>
      <c r="C1950">
        <v>78</v>
      </c>
    </row>
    <row r="1951" spans="2:3" x14ac:dyDescent="0.2">
      <c r="B1951" t="s">
        <v>8219</v>
      </c>
      <c r="C1951">
        <v>78</v>
      </c>
    </row>
    <row r="1952" spans="2:3" x14ac:dyDescent="0.2">
      <c r="B1952" t="s">
        <v>8219</v>
      </c>
      <c r="C1952">
        <v>78</v>
      </c>
    </row>
    <row r="1953" spans="2:3" x14ac:dyDescent="0.2">
      <c r="B1953" t="s">
        <v>8219</v>
      </c>
      <c r="C1953">
        <v>78</v>
      </c>
    </row>
    <row r="1954" spans="2:3" x14ac:dyDescent="0.2">
      <c r="B1954" t="s">
        <v>8219</v>
      </c>
      <c r="C1954">
        <v>78</v>
      </c>
    </row>
    <row r="1955" spans="2:3" x14ac:dyDescent="0.2">
      <c r="B1955" t="s">
        <v>8219</v>
      </c>
      <c r="C1955">
        <v>78</v>
      </c>
    </row>
    <row r="1956" spans="2:3" x14ac:dyDescent="0.2">
      <c r="B1956" t="s">
        <v>8219</v>
      </c>
      <c r="C1956">
        <v>78</v>
      </c>
    </row>
    <row r="1957" spans="2:3" x14ac:dyDescent="0.2">
      <c r="B1957" t="s">
        <v>8219</v>
      </c>
      <c r="C1957">
        <v>78</v>
      </c>
    </row>
    <row r="1958" spans="2:3" x14ac:dyDescent="0.2">
      <c r="B1958" t="s">
        <v>8219</v>
      </c>
      <c r="C1958">
        <v>78</v>
      </c>
    </row>
    <row r="1959" spans="2:3" x14ac:dyDescent="0.2">
      <c r="B1959" t="s">
        <v>8219</v>
      </c>
      <c r="C1959">
        <v>78</v>
      </c>
    </row>
    <row r="1960" spans="2:3" x14ac:dyDescent="0.2">
      <c r="B1960" t="s">
        <v>8219</v>
      </c>
      <c r="C1960">
        <v>78</v>
      </c>
    </row>
    <row r="1961" spans="2:3" x14ac:dyDescent="0.2">
      <c r="B1961" t="s">
        <v>8219</v>
      </c>
      <c r="C1961">
        <v>78</v>
      </c>
    </row>
    <row r="1962" spans="2:3" x14ac:dyDescent="0.2">
      <c r="B1962" t="s">
        <v>8219</v>
      </c>
      <c r="C1962">
        <v>77</v>
      </c>
    </row>
    <row r="1963" spans="2:3" x14ac:dyDescent="0.2">
      <c r="B1963" t="s">
        <v>8219</v>
      </c>
      <c r="C1963">
        <v>77</v>
      </c>
    </row>
    <row r="1964" spans="2:3" x14ac:dyDescent="0.2">
      <c r="B1964" t="s">
        <v>8219</v>
      </c>
      <c r="C1964">
        <v>77</v>
      </c>
    </row>
    <row r="1965" spans="2:3" x14ac:dyDescent="0.2">
      <c r="B1965" t="s">
        <v>8219</v>
      </c>
      <c r="C1965">
        <v>77</v>
      </c>
    </row>
    <row r="1966" spans="2:3" x14ac:dyDescent="0.2">
      <c r="B1966" t="s">
        <v>8219</v>
      </c>
      <c r="C1966">
        <v>77</v>
      </c>
    </row>
    <row r="1967" spans="2:3" x14ac:dyDescent="0.2">
      <c r="B1967" t="s">
        <v>8219</v>
      </c>
      <c r="C1967">
        <v>77</v>
      </c>
    </row>
    <row r="1968" spans="2:3" x14ac:dyDescent="0.2">
      <c r="B1968" t="s">
        <v>8219</v>
      </c>
      <c r="C1968">
        <v>77</v>
      </c>
    </row>
    <row r="1969" spans="2:3" x14ac:dyDescent="0.2">
      <c r="B1969" t="s">
        <v>8219</v>
      </c>
      <c r="C1969">
        <v>77</v>
      </c>
    </row>
    <row r="1970" spans="2:3" x14ac:dyDescent="0.2">
      <c r="B1970" t="s">
        <v>8219</v>
      </c>
      <c r="C1970">
        <v>76</v>
      </c>
    </row>
    <row r="1971" spans="2:3" x14ac:dyDescent="0.2">
      <c r="B1971" t="s">
        <v>8219</v>
      </c>
      <c r="C1971">
        <v>76</v>
      </c>
    </row>
    <row r="1972" spans="2:3" x14ac:dyDescent="0.2">
      <c r="B1972" t="s">
        <v>8219</v>
      </c>
      <c r="C1972">
        <v>76</v>
      </c>
    </row>
    <row r="1973" spans="2:3" x14ac:dyDescent="0.2">
      <c r="B1973" t="s">
        <v>8219</v>
      </c>
      <c r="C1973">
        <v>76</v>
      </c>
    </row>
    <row r="1974" spans="2:3" x14ac:dyDescent="0.2">
      <c r="B1974" t="s">
        <v>8219</v>
      </c>
      <c r="C1974">
        <v>76</v>
      </c>
    </row>
    <row r="1975" spans="2:3" x14ac:dyDescent="0.2">
      <c r="B1975" t="s">
        <v>8219</v>
      </c>
      <c r="C1975">
        <v>76</v>
      </c>
    </row>
    <row r="1976" spans="2:3" x14ac:dyDescent="0.2">
      <c r="B1976" t="s">
        <v>8219</v>
      </c>
      <c r="C1976">
        <v>76</v>
      </c>
    </row>
    <row r="1977" spans="2:3" x14ac:dyDescent="0.2">
      <c r="B1977" t="s">
        <v>8219</v>
      </c>
      <c r="C1977">
        <v>76</v>
      </c>
    </row>
    <row r="1978" spans="2:3" x14ac:dyDescent="0.2">
      <c r="B1978" t="s">
        <v>8219</v>
      </c>
      <c r="C1978">
        <v>76</v>
      </c>
    </row>
    <row r="1979" spans="2:3" x14ac:dyDescent="0.2">
      <c r="B1979" t="s">
        <v>8219</v>
      </c>
      <c r="C1979">
        <v>76</v>
      </c>
    </row>
    <row r="1980" spans="2:3" x14ac:dyDescent="0.2">
      <c r="B1980" t="s">
        <v>8219</v>
      </c>
      <c r="C1980">
        <v>75</v>
      </c>
    </row>
    <row r="1981" spans="2:3" x14ac:dyDescent="0.2">
      <c r="B1981" t="s">
        <v>8219</v>
      </c>
      <c r="C1981">
        <v>75</v>
      </c>
    </row>
    <row r="1982" spans="2:3" x14ac:dyDescent="0.2">
      <c r="B1982" t="s">
        <v>8219</v>
      </c>
      <c r="C1982">
        <v>75</v>
      </c>
    </row>
    <row r="1983" spans="2:3" hidden="1" x14ac:dyDescent="0.2">
      <c r="B1983" t="s">
        <v>8221</v>
      </c>
      <c r="C1983">
        <v>12</v>
      </c>
    </row>
    <row r="1984" spans="2:3" hidden="1" x14ac:dyDescent="0.2">
      <c r="B1984" t="s">
        <v>8221</v>
      </c>
      <c r="C1984">
        <v>0</v>
      </c>
    </row>
    <row r="1985" spans="2:3" hidden="1" x14ac:dyDescent="0.2">
      <c r="B1985" t="s">
        <v>8221</v>
      </c>
      <c r="C1985">
        <v>16</v>
      </c>
    </row>
    <row r="1986" spans="2:3" hidden="1" x14ac:dyDescent="0.2">
      <c r="B1986" t="s">
        <v>8221</v>
      </c>
      <c r="C1986">
        <v>7</v>
      </c>
    </row>
    <row r="1987" spans="2:3" hidden="1" x14ac:dyDescent="0.2">
      <c r="B1987" t="s">
        <v>8221</v>
      </c>
      <c r="C1987">
        <v>4</v>
      </c>
    </row>
    <row r="1988" spans="2:3" hidden="1" x14ac:dyDescent="0.2">
      <c r="B1988" t="s">
        <v>8221</v>
      </c>
      <c r="C1988">
        <v>1</v>
      </c>
    </row>
    <row r="1989" spans="2:3" hidden="1" x14ac:dyDescent="0.2">
      <c r="B1989" t="s">
        <v>8221</v>
      </c>
      <c r="C1989">
        <v>28</v>
      </c>
    </row>
    <row r="1990" spans="2:3" hidden="1" x14ac:dyDescent="0.2">
      <c r="B1990" t="s">
        <v>8221</v>
      </c>
      <c r="C1990">
        <v>1</v>
      </c>
    </row>
    <row r="1991" spans="2:3" hidden="1" x14ac:dyDescent="0.2">
      <c r="B1991" t="s">
        <v>8221</v>
      </c>
      <c r="C1991">
        <v>1</v>
      </c>
    </row>
    <row r="1992" spans="2:3" hidden="1" x14ac:dyDescent="0.2">
      <c r="B1992" t="s">
        <v>8221</v>
      </c>
      <c r="C1992">
        <v>5</v>
      </c>
    </row>
    <row r="1993" spans="2:3" hidden="1" x14ac:dyDescent="0.2">
      <c r="B1993" t="s">
        <v>8221</v>
      </c>
      <c r="C1993">
        <v>3</v>
      </c>
    </row>
    <row r="1994" spans="2:3" hidden="1" x14ac:dyDescent="0.2">
      <c r="B1994" t="s">
        <v>8221</v>
      </c>
      <c r="C1994">
        <v>2</v>
      </c>
    </row>
    <row r="1995" spans="2:3" hidden="1" x14ac:dyDescent="0.2">
      <c r="B1995" t="s">
        <v>8221</v>
      </c>
      <c r="C1995">
        <v>0</v>
      </c>
    </row>
    <row r="1996" spans="2:3" hidden="1" x14ac:dyDescent="0.2">
      <c r="B1996" t="s">
        <v>8221</v>
      </c>
      <c r="C1996">
        <v>0</v>
      </c>
    </row>
    <row r="1997" spans="2:3" hidden="1" x14ac:dyDescent="0.2">
      <c r="B1997" t="s">
        <v>8221</v>
      </c>
      <c r="C1997">
        <v>3</v>
      </c>
    </row>
    <row r="1998" spans="2:3" hidden="1" x14ac:dyDescent="0.2">
      <c r="B1998" t="s">
        <v>8221</v>
      </c>
      <c r="C1998">
        <v>0</v>
      </c>
    </row>
    <row r="1999" spans="2:3" hidden="1" x14ac:dyDescent="0.2">
      <c r="B1999" t="s">
        <v>8221</v>
      </c>
      <c r="C1999">
        <v>0</v>
      </c>
    </row>
    <row r="2000" spans="2:3" hidden="1" x14ac:dyDescent="0.2">
      <c r="B2000" t="s">
        <v>8221</v>
      </c>
      <c r="C2000">
        <v>3</v>
      </c>
    </row>
    <row r="2001" spans="2:3" hidden="1" x14ac:dyDescent="0.2">
      <c r="B2001" t="s">
        <v>8221</v>
      </c>
      <c r="C2001">
        <v>7</v>
      </c>
    </row>
    <row r="2002" spans="2:3" hidden="1" x14ac:dyDescent="0.2">
      <c r="B2002" t="s">
        <v>8221</v>
      </c>
      <c r="C2002">
        <v>25</v>
      </c>
    </row>
    <row r="2003" spans="2:3" x14ac:dyDescent="0.2">
      <c r="B2003" t="s">
        <v>8219</v>
      </c>
      <c r="C2003">
        <v>75</v>
      </c>
    </row>
    <row r="2004" spans="2:3" x14ac:dyDescent="0.2">
      <c r="B2004" t="s">
        <v>8219</v>
      </c>
      <c r="C2004">
        <v>75</v>
      </c>
    </row>
    <row r="2005" spans="2:3" x14ac:dyDescent="0.2">
      <c r="B2005" t="s">
        <v>8219</v>
      </c>
      <c r="C2005">
        <v>75</v>
      </c>
    </row>
    <row r="2006" spans="2:3" x14ac:dyDescent="0.2">
      <c r="B2006" t="s">
        <v>8219</v>
      </c>
      <c r="C2006">
        <v>75</v>
      </c>
    </row>
    <row r="2007" spans="2:3" x14ac:dyDescent="0.2">
      <c r="B2007" t="s">
        <v>8219</v>
      </c>
      <c r="C2007">
        <v>75</v>
      </c>
    </row>
    <row r="2008" spans="2:3" x14ac:dyDescent="0.2">
      <c r="B2008" t="s">
        <v>8219</v>
      </c>
      <c r="C2008">
        <v>75</v>
      </c>
    </row>
    <row r="2009" spans="2:3" x14ac:dyDescent="0.2">
      <c r="B2009" t="s">
        <v>8219</v>
      </c>
      <c r="C2009">
        <v>75</v>
      </c>
    </row>
    <row r="2010" spans="2:3" x14ac:dyDescent="0.2">
      <c r="B2010" t="s">
        <v>8219</v>
      </c>
      <c r="C2010">
        <v>75</v>
      </c>
    </row>
    <row r="2011" spans="2:3" x14ac:dyDescent="0.2">
      <c r="B2011" t="s">
        <v>8219</v>
      </c>
      <c r="C2011">
        <v>75</v>
      </c>
    </row>
    <row r="2012" spans="2:3" x14ac:dyDescent="0.2">
      <c r="B2012" t="s">
        <v>8219</v>
      </c>
      <c r="C2012">
        <v>74</v>
      </c>
    </row>
    <row r="2013" spans="2:3" x14ac:dyDescent="0.2">
      <c r="B2013" t="s">
        <v>8219</v>
      </c>
      <c r="C2013">
        <v>74</v>
      </c>
    </row>
    <row r="2014" spans="2:3" x14ac:dyDescent="0.2">
      <c r="B2014" t="s">
        <v>8219</v>
      </c>
      <c r="C2014">
        <v>74</v>
      </c>
    </row>
    <row r="2015" spans="2:3" x14ac:dyDescent="0.2">
      <c r="B2015" t="s">
        <v>8219</v>
      </c>
      <c r="C2015">
        <v>74</v>
      </c>
    </row>
    <row r="2016" spans="2:3" x14ac:dyDescent="0.2">
      <c r="B2016" t="s">
        <v>8219</v>
      </c>
      <c r="C2016">
        <v>74</v>
      </c>
    </row>
    <row r="2017" spans="2:3" x14ac:dyDescent="0.2">
      <c r="B2017" t="s">
        <v>8219</v>
      </c>
      <c r="C2017">
        <v>74</v>
      </c>
    </row>
    <row r="2018" spans="2:3" x14ac:dyDescent="0.2">
      <c r="B2018" t="s">
        <v>8219</v>
      </c>
      <c r="C2018">
        <v>74</v>
      </c>
    </row>
    <row r="2019" spans="2:3" x14ac:dyDescent="0.2">
      <c r="B2019" t="s">
        <v>8219</v>
      </c>
      <c r="C2019">
        <v>74</v>
      </c>
    </row>
    <row r="2020" spans="2:3" x14ac:dyDescent="0.2">
      <c r="B2020" t="s">
        <v>8219</v>
      </c>
      <c r="C2020">
        <v>74</v>
      </c>
    </row>
    <row r="2021" spans="2:3" x14ac:dyDescent="0.2">
      <c r="B2021" t="s">
        <v>8219</v>
      </c>
      <c r="C2021">
        <v>74</v>
      </c>
    </row>
    <row r="2022" spans="2:3" x14ac:dyDescent="0.2">
      <c r="B2022" t="s">
        <v>8219</v>
      </c>
      <c r="C2022">
        <v>74</v>
      </c>
    </row>
    <row r="2023" spans="2:3" x14ac:dyDescent="0.2">
      <c r="B2023" t="s">
        <v>8219</v>
      </c>
      <c r="C2023">
        <v>74</v>
      </c>
    </row>
    <row r="2024" spans="2:3" x14ac:dyDescent="0.2">
      <c r="B2024" t="s">
        <v>8219</v>
      </c>
      <c r="C2024">
        <v>74</v>
      </c>
    </row>
    <row r="2025" spans="2:3" x14ac:dyDescent="0.2">
      <c r="B2025" t="s">
        <v>8219</v>
      </c>
      <c r="C2025">
        <v>73</v>
      </c>
    </row>
    <row r="2026" spans="2:3" x14ac:dyDescent="0.2">
      <c r="B2026" t="s">
        <v>8219</v>
      </c>
      <c r="C2026">
        <v>73</v>
      </c>
    </row>
    <row r="2027" spans="2:3" x14ac:dyDescent="0.2">
      <c r="B2027" t="s">
        <v>8219</v>
      </c>
      <c r="C2027">
        <v>73</v>
      </c>
    </row>
    <row r="2028" spans="2:3" x14ac:dyDescent="0.2">
      <c r="B2028" t="s">
        <v>8219</v>
      </c>
      <c r="C2028">
        <v>73</v>
      </c>
    </row>
    <row r="2029" spans="2:3" x14ac:dyDescent="0.2">
      <c r="B2029" t="s">
        <v>8219</v>
      </c>
      <c r="C2029">
        <v>73</v>
      </c>
    </row>
    <row r="2030" spans="2:3" x14ac:dyDescent="0.2">
      <c r="B2030" t="s">
        <v>8219</v>
      </c>
      <c r="C2030">
        <v>73</v>
      </c>
    </row>
    <row r="2031" spans="2:3" x14ac:dyDescent="0.2">
      <c r="B2031" t="s">
        <v>8219</v>
      </c>
      <c r="C2031">
        <v>73</v>
      </c>
    </row>
    <row r="2032" spans="2:3" x14ac:dyDescent="0.2">
      <c r="B2032" t="s">
        <v>8219</v>
      </c>
      <c r="C2032">
        <v>73</v>
      </c>
    </row>
    <row r="2033" spans="2:3" x14ac:dyDescent="0.2">
      <c r="B2033" t="s">
        <v>8219</v>
      </c>
      <c r="C2033">
        <v>73</v>
      </c>
    </row>
    <row r="2034" spans="2:3" x14ac:dyDescent="0.2">
      <c r="B2034" t="s">
        <v>8219</v>
      </c>
      <c r="C2034">
        <v>73</v>
      </c>
    </row>
    <row r="2035" spans="2:3" x14ac:dyDescent="0.2">
      <c r="B2035" t="s">
        <v>8219</v>
      </c>
      <c r="C2035">
        <v>73</v>
      </c>
    </row>
    <row r="2036" spans="2:3" x14ac:dyDescent="0.2">
      <c r="B2036" t="s">
        <v>8219</v>
      </c>
      <c r="C2036">
        <v>73</v>
      </c>
    </row>
    <row r="2037" spans="2:3" x14ac:dyDescent="0.2">
      <c r="B2037" t="s">
        <v>8219</v>
      </c>
      <c r="C2037">
        <v>72</v>
      </c>
    </row>
    <row r="2038" spans="2:3" x14ac:dyDescent="0.2">
      <c r="B2038" t="s">
        <v>8219</v>
      </c>
      <c r="C2038">
        <v>72</v>
      </c>
    </row>
    <row r="2039" spans="2:3" x14ac:dyDescent="0.2">
      <c r="B2039" t="s">
        <v>8219</v>
      </c>
      <c r="C2039">
        <v>72</v>
      </c>
    </row>
    <row r="2040" spans="2:3" x14ac:dyDescent="0.2">
      <c r="B2040" t="s">
        <v>8219</v>
      </c>
      <c r="C2040">
        <v>72</v>
      </c>
    </row>
    <row r="2041" spans="2:3" x14ac:dyDescent="0.2">
      <c r="B2041" t="s">
        <v>8219</v>
      </c>
      <c r="C2041">
        <v>72</v>
      </c>
    </row>
    <row r="2042" spans="2:3" x14ac:dyDescent="0.2">
      <c r="B2042" t="s">
        <v>8219</v>
      </c>
      <c r="C2042">
        <v>72</v>
      </c>
    </row>
    <row r="2043" spans="2:3" x14ac:dyDescent="0.2">
      <c r="B2043" t="s">
        <v>8219</v>
      </c>
      <c r="C2043">
        <v>72</v>
      </c>
    </row>
    <row r="2044" spans="2:3" x14ac:dyDescent="0.2">
      <c r="B2044" t="s">
        <v>8219</v>
      </c>
      <c r="C2044">
        <v>72</v>
      </c>
    </row>
    <row r="2045" spans="2:3" x14ac:dyDescent="0.2">
      <c r="B2045" t="s">
        <v>8219</v>
      </c>
      <c r="C2045">
        <v>72</v>
      </c>
    </row>
    <row r="2046" spans="2:3" x14ac:dyDescent="0.2">
      <c r="B2046" t="s">
        <v>8219</v>
      </c>
      <c r="C2046">
        <v>72</v>
      </c>
    </row>
    <row r="2047" spans="2:3" x14ac:dyDescent="0.2">
      <c r="B2047" t="s">
        <v>8219</v>
      </c>
      <c r="C2047">
        <v>72</v>
      </c>
    </row>
    <row r="2048" spans="2:3" x14ac:dyDescent="0.2">
      <c r="B2048" t="s">
        <v>8219</v>
      </c>
      <c r="C2048">
        <v>72</v>
      </c>
    </row>
    <row r="2049" spans="2:3" x14ac:dyDescent="0.2">
      <c r="B2049" t="s">
        <v>8219</v>
      </c>
      <c r="C2049">
        <v>72</v>
      </c>
    </row>
    <row r="2050" spans="2:3" x14ac:dyDescent="0.2">
      <c r="B2050" t="s">
        <v>8219</v>
      </c>
      <c r="C2050">
        <v>71</v>
      </c>
    </row>
    <row r="2051" spans="2:3" x14ac:dyDescent="0.2">
      <c r="B2051" t="s">
        <v>8219</v>
      </c>
      <c r="C2051">
        <v>71</v>
      </c>
    </row>
    <row r="2052" spans="2:3" x14ac:dyDescent="0.2">
      <c r="B2052" t="s">
        <v>8219</v>
      </c>
      <c r="C2052">
        <v>71</v>
      </c>
    </row>
    <row r="2053" spans="2:3" x14ac:dyDescent="0.2">
      <c r="B2053" t="s">
        <v>8219</v>
      </c>
      <c r="C2053">
        <v>71</v>
      </c>
    </row>
    <row r="2054" spans="2:3" x14ac:dyDescent="0.2">
      <c r="B2054" t="s">
        <v>8219</v>
      </c>
      <c r="C2054">
        <v>71</v>
      </c>
    </row>
    <row r="2055" spans="2:3" x14ac:dyDescent="0.2">
      <c r="B2055" t="s">
        <v>8219</v>
      </c>
      <c r="C2055">
        <v>71</v>
      </c>
    </row>
    <row r="2056" spans="2:3" x14ac:dyDescent="0.2">
      <c r="B2056" t="s">
        <v>8219</v>
      </c>
      <c r="C2056">
        <v>71</v>
      </c>
    </row>
    <row r="2057" spans="2:3" x14ac:dyDescent="0.2">
      <c r="B2057" t="s">
        <v>8219</v>
      </c>
      <c r="C2057">
        <v>71</v>
      </c>
    </row>
    <row r="2058" spans="2:3" x14ac:dyDescent="0.2">
      <c r="B2058" t="s">
        <v>8219</v>
      </c>
      <c r="C2058">
        <v>71</v>
      </c>
    </row>
    <row r="2059" spans="2:3" x14ac:dyDescent="0.2">
      <c r="B2059" t="s">
        <v>8219</v>
      </c>
      <c r="C2059">
        <v>71</v>
      </c>
    </row>
    <row r="2060" spans="2:3" x14ac:dyDescent="0.2">
      <c r="B2060" t="s">
        <v>8219</v>
      </c>
      <c r="C2060">
        <v>71</v>
      </c>
    </row>
    <row r="2061" spans="2:3" x14ac:dyDescent="0.2">
      <c r="B2061" t="s">
        <v>8219</v>
      </c>
      <c r="C2061">
        <v>71</v>
      </c>
    </row>
    <row r="2062" spans="2:3" x14ac:dyDescent="0.2">
      <c r="B2062" t="s">
        <v>8219</v>
      </c>
      <c r="C2062">
        <v>71</v>
      </c>
    </row>
    <row r="2063" spans="2:3" x14ac:dyDescent="0.2">
      <c r="B2063" t="s">
        <v>8219</v>
      </c>
      <c r="C2063">
        <v>71</v>
      </c>
    </row>
    <row r="2064" spans="2:3" x14ac:dyDescent="0.2">
      <c r="B2064" t="s">
        <v>8219</v>
      </c>
      <c r="C2064">
        <v>71</v>
      </c>
    </row>
    <row r="2065" spans="2:3" x14ac:dyDescent="0.2">
      <c r="B2065" t="s">
        <v>8219</v>
      </c>
      <c r="C2065">
        <v>71</v>
      </c>
    </row>
    <row r="2066" spans="2:3" x14ac:dyDescent="0.2">
      <c r="B2066" t="s">
        <v>8219</v>
      </c>
      <c r="C2066">
        <v>70</v>
      </c>
    </row>
    <row r="2067" spans="2:3" x14ac:dyDescent="0.2">
      <c r="B2067" t="s">
        <v>8219</v>
      </c>
      <c r="C2067">
        <v>70</v>
      </c>
    </row>
    <row r="2068" spans="2:3" x14ac:dyDescent="0.2">
      <c r="B2068" t="s">
        <v>8219</v>
      </c>
      <c r="C2068">
        <v>70</v>
      </c>
    </row>
    <row r="2069" spans="2:3" x14ac:dyDescent="0.2">
      <c r="B2069" t="s">
        <v>8219</v>
      </c>
      <c r="C2069">
        <v>70</v>
      </c>
    </row>
    <row r="2070" spans="2:3" x14ac:dyDescent="0.2">
      <c r="B2070" t="s">
        <v>8219</v>
      </c>
      <c r="C2070">
        <v>70</v>
      </c>
    </row>
    <row r="2071" spans="2:3" x14ac:dyDescent="0.2">
      <c r="B2071" t="s">
        <v>8219</v>
      </c>
      <c r="C2071">
        <v>70</v>
      </c>
    </row>
    <row r="2072" spans="2:3" x14ac:dyDescent="0.2">
      <c r="B2072" t="s">
        <v>8219</v>
      </c>
      <c r="C2072">
        <v>70</v>
      </c>
    </row>
    <row r="2073" spans="2:3" x14ac:dyDescent="0.2">
      <c r="B2073" t="s">
        <v>8219</v>
      </c>
      <c r="C2073">
        <v>70</v>
      </c>
    </row>
    <row r="2074" spans="2:3" x14ac:dyDescent="0.2">
      <c r="B2074" t="s">
        <v>8219</v>
      </c>
      <c r="C2074">
        <v>70</v>
      </c>
    </row>
    <row r="2075" spans="2:3" x14ac:dyDescent="0.2">
      <c r="B2075" t="s">
        <v>8219</v>
      </c>
      <c r="C2075">
        <v>70</v>
      </c>
    </row>
    <row r="2076" spans="2:3" x14ac:dyDescent="0.2">
      <c r="B2076" t="s">
        <v>8219</v>
      </c>
      <c r="C2076">
        <v>70</v>
      </c>
    </row>
    <row r="2077" spans="2:3" x14ac:dyDescent="0.2">
      <c r="B2077" t="s">
        <v>8219</v>
      </c>
      <c r="C2077">
        <v>70</v>
      </c>
    </row>
    <row r="2078" spans="2:3" x14ac:dyDescent="0.2">
      <c r="B2078" t="s">
        <v>8219</v>
      </c>
      <c r="C2078">
        <v>70</v>
      </c>
    </row>
    <row r="2079" spans="2:3" x14ac:dyDescent="0.2">
      <c r="B2079" t="s">
        <v>8219</v>
      </c>
      <c r="C2079">
        <v>70</v>
      </c>
    </row>
    <row r="2080" spans="2:3" x14ac:dyDescent="0.2">
      <c r="B2080" t="s">
        <v>8219</v>
      </c>
      <c r="C2080">
        <v>70</v>
      </c>
    </row>
    <row r="2081" spans="2:3" x14ac:dyDescent="0.2">
      <c r="B2081" t="s">
        <v>8219</v>
      </c>
      <c r="C2081">
        <v>70</v>
      </c>
    </row>
    <row r="2082" spans="2:3" x14ac:dyDescent="0.2">
      <c r="B2082" t="s">
        <v>8219</v>
      </c>
      <c r="C2082">
        <v>70</v>
      </c>
    </row>
    <row r="2083" spans="2:3" x14ac:dyDescent="0.2">
      <c r="B2083" t="s">
        <v>8219</v>
      </c>
      <c r="C2083">
        <v>69</v>
      </c>
    </row>
    <row r="2084" spans="2:3" x14ac:dyDescent="0.2">
      <c r="B2084" t="s">
        <v>8219</v>
      </c>
      <c r="C2084">
        <v>69</v>
      </c>
    </row>
    <row r="2085" spans="2:3" x14ac:dyDescent="0.2">
      <c r="B2085" t="s">
        <v>8219</v>
      </c>
      <c r="C2085">
        <v>69</v>
      </c>
    </row>
    <row r="2086" spans="2:3" x14ac:dyDescent="0.2">
      <c r="B2086" t="s">
        <v>8219</v>
      </c>
      <c r="C2086">
        <v>69</v>
      </c>
    </row>
    <row r="2087" spans="2:3" x14ac:dyDescent="0.2">
      <c r="B2087" t="s">
        <v>8219</v>
      </c>
      <c r="C2087">
        <v>69</v>
      </c>
    </row>
    <row r="2088" spans="2:3" x14ac:dyDescent="0.2">
      <c r="B2088" t="s">
        <v>8219</v>
      </c>
      <c r="C2088">
        <v>69</v>
      </c>
    </row>
    <row r="2089" spans="2:3" x14ac:dyDescent="0.2">
      <c r="B2089" t="s">
        <v>8219</v>
      </c>
      <c r="C2089">
        <v>69</v>
      </c>
    </row>
    <row r="2090" spans="2:3" x14ac:dyDescent="0.2">
      <c r="B2090" t="s">
        <v>8219</v>
      </c>
      <c r="C2090">
        <v>69</v>
      </c>
    </row>
    <row r="2091" spans="2:3" x14ac:dyDescent="0.2">
      <c r="B2091" t="s">
        <v>8219</v>
      </c>
      <c r="C2091">
        <v>69</v>
      </c>
    </row>
    <row r="2092" spans="2:3" x14ac:dyDescent="0.2">
      <c r="B2092" t="s">
        <v>8219</v>
      </c>
      <c r="C2092">
        <v>69</v>
      </c>
    </row>
    <row r="2093" spans="2:3" x14ac:dyDescent="0.2">
      <c r="B2093" t="s">
        <v>8219</v>
      </c>
      <c r="C2093">
        <v>69</v>
      </c>
    </row>
    <row r="2094" spans="2:3" x14ac:dyDescent="0.2">
      <c r="B2094" t="s">
        <v>8219</v>
      </c>
      <c r="C2094">
        <v>69</v>
      </c>
    </row>
    <row r="2095" spans="2:3" x14ac:dyDescent="0.2">
      <c r="B2095" t="s">
        <v>8219</v>
      </c>
      <c r="C2095">
        <v>69</v>
      </c>
    </row>
    <row r="2096" spans="2:3" x14ac:dyDescent="0.2">
      <c r="B2096" t="s">
        <v>8219</v>
      </c>
      <c r="C2096">
        <v>69</v>
      </c>
    </row>
    <row r="2097" spans="2:3" x14ac:dyDescent="0.2">
      <c r="B2097" t="s">
        <v>8219</v>
      </c>
      <c r="C2097">
        <v>68</v>
      </c>
    </row>
    <row r="2098" spans="2:3" x14ac:dyDescent="0.2">
      <c r="B2098" t="s">
        <v>8219</v>
      </c>
      <c r="C2098">
        <v>68</v>
      </c>
    </row>
    <row r="2099" spans="2:3" x14ac:dyDescent="0.2">
      <c r="B2099" t="s">
        <v>8219</v>
      </c>
      <c r="C2099">
        <v>68</v>
      </c>
    </row>
    <row r="2100" spans="2:3" x14ac:dyDescent="0.2">
      <c r="B2100" t="s">
        <v>8219</v>
      </c>
      <c r="C2100">
        <v>68</v>
      </c>
    </row>
    <row r="2101" spans="2:3" x14ac:dyDescent="0.2">
      <c r="B2101" t="s">
        <v>8219</v>
      </c>
      <c r="C2101">
        <v>68</v>
      </c>
    </row>
    <row r="2102" spans="2:3" x14ac:dyDescent="0.2">
      <c r="B2102" t="s">
        <v>8219</v>
      </c>
      <c r="C2102">
        <v>68</v>
      </c>
    </row>
    <row r="2103" spans="2:3" x14ac:dyDescent="0.2">
      <c r="B2103" t="s">
        <v>8219</v>
      </c>
      <c r="C2103">
        <v>68</v>
      </c>
    </row>
    <row r="2104" spans="2:3" x14ac:dyDescent="0.2">
      <c r="B2104" t="s">
        <v>8219</v>
      </c>
      <c r="C2104">
        <v>67</v>
      </c>
    </row>
    <row r="2105" spans="2:3" x14ac:dyDescent="0.2">
      <c r="B2105" t="s">
        <v>8219</v>
      </c>
      <c r="C2105">
        <v>67</v>
      </c>
    </row>
    <row r="2106" spans="2:3" x14ac:dyDescent="0.2">
      <c r="B2106" t="s">
        <v>8219</v>
      </c>
      <c r="C2106">
        <v>67</v>
      </c>
    </row>
    <row r="2107" spans="2:3" x14ac:dyDescent="0.2">
      <c r="B2107" t="s">
        <v>8219</v>
      </c>
      <c r="C2107">
        <v>67</v>
      </c>
    </row>
    <row r="2108" spans="2:3" x14ac:dyDescent="0.2">
      <c r="B2108" t="s">
        <v>8219</v>
      </c>
      <c r="C2108">
        <v>67</v>
      </c>
    </row>
    <row r="2109" spans="2:3" x14ac:dyDescent="0.2">
      <c r="B2109" t="s">
        <v>8219</v>
      </c>
      <c r="C2109">
        <v>67</v>
      </c>
    </row>
    <row r="2110" spans="2:3" x14ac:dyDescent="0.2">
      <c r="B2110" t="s">
        <v>8219</v>
      </c>
      <c r="C2110">
        <v>67</v>
      </c>
    </row>
    <row r="2111" spans="2:3" x14ac:dyDescent="0.2">
      <c r="B2111" t="s">
        <v>8219</v>
      </c>
      <c r="C2111">
        <v>67</v>
      </c>
    </row>
    <row r="2112" spans="2:3" x14ac:dyDescent="0.2">
      <c r="B2112" t="s">
        <v>8219</v>
      </c>
      <c r="C2112">
        <v>67</v>
      </c>
    </row>
    <row r="2113" spans="2:3" x14ac:dyDescent="0.2">
      <c r="B2113" t="s">
        <v>8219</v>
      </c>
      <c r="C2113">
        <v>66</v>
      </c>
    </row>
    <row r="2114" spans="2:3" x14ac:dyDescent="0.2">
      <c r="B2114" t="s">
        <v>8219</v>
      </c>
      <c r="C2114">
        <v>66</v>
      </c>
    </row>
    <row r="2115" spans="2:3" x14ac:dyDescent="0.2">
      <c r="B2115" t="s">
        <v>8219</v>
      </c>
      <c r="C2115">
        <v>66</v>
      </c>
    </row>
    <row r="2116" spans="2:3" x14ac:dyDescent="0.2">
      <c r="B2116" t="s">
        <v>8219</v>
      </c>
      <c r="C2116">
        <v>66</v>
      </c>
    </row>
    <row r="2117" spans="2:3" x14ac:dyDescent="0.2">
      <c r="B2117" t="s">
        <v>8219</v>
      </c>
      <c r="C2117">
        <v>66</v>
      </c>
    </row>
    <row r="2118" spans="2:3" x14ac:dyDescent="0.2">
      <c r="B2118" t="s">
        <v>8219</v>
      </c>
      <c r="C2118">
        <v>66</v>
      </c>
    </row>
    <row r="2119" spans="2:3" x14ac:dyDescent="0.2">
      <c r="B2119" t="s">
        <v>8219</v>
      </c>
      <c r="C2119">
        <v>66</v>
      </c>
    </row>
    <row r="2120" spans="2:3" x14ac:dyDescent="0.2">
      <c r="B2120" t="s">
        <v>8219</v>
      </c>
      <c r="C2120">
        <v>66</v>
      </c>
    </row>
    <row r="2121" spans="2:3" x14ac:dyDescent="0.2">
      <c r="B2121" t="s">
        <v>8219</v>
      </c>
      <c r="C2121">
        <v>65</v>
      </c>
    </row>
    <row r="2122" spans="2:3" x14ac:dyDescent="0.2">
      <c r="B2122" t="s">
        <v>8219</v>
      </c>
      <c r="C2122">
        <v>65</v>
      </c>
    </row>
    <row r="2123" spans="2:3" hidden="1" x14ac:dyDescent="0.2">
      <c r="B2123" t="s">
        <v>8221</v>
      </c>
      <c r="C2123">
        <v>10</v>
      </c>
    </row>
    <row r="2124" spans="2:3" hidden="1" x14ac:dyDescent="0.2">
      <c r="B2124" t="s">
        <v>8221</v>
      </c>
      <c r="C2124">
        <v>3</v>
      </c>
    </row>
    <row r="2125" spans="2:3" hidden="1" x14ac:dyDescent="0.2">
      <c r="B2125" t="s">
        <v>8221</v>
      </c>
      <c r="C2125">
        <v>5</v>
      </c>
    </row>
    <row r="2126" spans="2:3" hidden="1" x14ac:dyDescent="0.2">
      <c r="B2126" t="s">
        <v>8221</v>
      </c>
      <c r="C2126">
        <v>5</v>
      </c>
    </row>
    <row r="2127" spans="2:3" hidden="1" x14ac:dyDescent="0.2">
      <c r="B2127" t="s">
        <v>8221</v>
      </c>
      <c r="C2127">
        <v>27</v>
      </c>
    </row>
    <row r="2128" spans="2:3" hidden="1" x14ac:dyDescent="0.2">
      <c r="B2128" t="s">
        <v>8221</v>
      </c>
      <c r="C2128">
        <v>2</v>
      </c>
    </row>
    <row r="2129" spans="2:3" hidden="1" x14ac:dyDescent="0.2">
      <c r="B2129" t="s">
        <v>8221</v>
      </c>
      <c r="C2129">
        <v>236</v>
      </c>
    </row>
    <row r="2130" spans="2:3" hidden="1" x14ac:dyDescent="0.2">
      <c r="B2130" t="s">
        <v>8221</v>
      </c>
      <c r="C2130">
        <v>1</v>
      </c>
    </row>
    <row r="2131" spans="2:3" hidden="1" x14ac:dyDescent="0.2">
      <c r="B2131" t="s">
        <v>8221</v>
      </c>
      <c r="C2131">
        <v>12</v>
      </c>
    </row>
    <row r="2132" spans="2:3" hidden="1" x14ac:dyDescent="0.2">
      <c r="B2132" t="s">
        <v>8221</v>
      </c>
      <c r="C2132">
        <v>4</v>
      </c>
    </row>
    <row r="2133" spans="2:3" hidden="1" x14ac:dyDescent="0.2">
      <c r="B2133" t="s">
        <v>8221</v>
      </c>
      <c r="C2133">
        <v>3</v>
      </c>
    </row>
    <row r="2134" spans="2:3" hidden="1" x14ac:dyDescent="0.2">
      <c r="B2134" t="s">
        <v>8221</v>
      </c>
      <c r="C2134">
        <v>99</v>
      </c>
    </row>
    <row r="2135" spans="2:3" hidden="1" x14ac:dyDescent="0.2">
      <c r="B2135" t="s">
        <v>8221</v>
      </c>
      <c r="C2135">
        <v>3</v>
      </c>
    </row>
    <row r="2136" spans="2:3" hidden="1" x14ac:dyDescent="0.2">
      <c r="B2136" t="s">
        <v>8221</v>
      </c>
      <c r="C2136">
        <v>3</v>
      </c>
    </row>
    <row r="2137" spans="2:3" hidden="1" x14ac:dyDescent="0.2">
      <c r="B2137" t="s">
        <v>8221</v>
      </c>
      <c r="C2137">
        <v>22</v>
      </c>
    </row>
    <row r="2138" spans="2:3" hidden="1" x14ac:dyDescent="0.2">
      <c r="B2138" t="s">
        <v>8221</v>
      </c>
      <c r="C2138">
        <v>4</v>
      </c>
    </row>
    <row r="2139" spans="2:3" hidden="1" x14ac:dyDescent="0.2">
      <c r="B2139" t="s">
        <v>8221</v>
      </c>
      <c r="C2139">
        <v>534</v>
      </c>
    </row>
    <row r="2140" spans="2:3" hidden="1" x14ac:dyDescent="0.2">
      <c r="B2140" t="s">
        <v>8221</v>
      </c>
      <c r="C2140">
        <v>12</v>
      </c>
    </row>
    <row r="2141" spans="2:3" hidden="1" x14ac:dyDescent="0.2">
      <c r="B2141" t="s">
        <v>8221</v>
      </c>
      <c r="C2141">
        <v>56</v>
      </c>
    </row>
    <row r="2142" spans="2:3" hidden="1" x14ac:dyDescent="0.2">
      <c r="B2142" t="s">
        <v>8221</v>
      </c>
      <c r="C2142">
        <v>11</v>
      </c>
    </row>
    <row r="2143" spans="2:3" hidden="1" x14ac:dyDescent="0.2">
      <c r="B2143" t="s">
        <v>8221</v>
      </c>
      <c r="C2143">
        <v>0</v>
      </c>
    </row>
    <row r="2144" spans="2:3" hidden="1" x14ac:dyDescent="0.2">
      <c r="B2144" t="s">
        <v>8221</v>
      </c>
      <c r="C2144">
        <v>12</v>
      </c>
    </row>
    <row r="2145" spans="2:3" hidden="1" x14ac:dyDescent="0.2">
      <c r="B2145" t="s">
        <v>8221</v>
      </c>
      <c r="C2145">
        <v>5</v>
      </c>
    </row>
    <row r="2146" spans="2:3" hidden="1" x14ac:dyDescent="0.2">
      <c r="B2146" t="s">
        <v>8221</v>
      </c>
      <c r="C2146">
        <v>24</v>
      </c>
    </row>
    <row r="2147" spans="2:3" hidden="1" x14ac:dyDescent="0.2">
      <c r="B2147" t="s">
        <v>8221</v>
      </c>
      <c r="C2147">
        <v>89</v>
      </c>
    </row>
    <row r="2148" spans="2:3" hidden="1" x14ac:dyDescent="0.2">
      <c r="B2148" t="s">
        <v>8221</v>
      </c>
      <c r="C2148">
        <v>1</v>
      </c>
    </row>
    <row r="2149" spans="2:3" hidden="1" x14ac:dyDescent="0.2">
      <c r="B2149" t="s">
        <v>8221</v>
      </c>
      <c r="C2149">
        <v>55</v>
      </c>
    </row>
    <row r="2150" spans="2:3" hidden="1" x14ac:dyDescent="0.2">
      <c r="B2150" t="s">
        <v>8221</v>
      </c>
      <c r="C2150">
        <v>2</v>
      </c>
    </row>
    <row r="2151" spans="2:3" hidden="1" x14ac:dyDescent="0.2">
      <c r="B2151" t="s">
        <v>8221</v>
      </c>
      <c r="C2151">
        <v>0</v>
      </c>
    </row>
    <row r="2152" spans="2:3" hidden="1" x14ac:dyDescent="0.2">
      <c r="B2152" t="s">
        <v>8221</v>
      </c>
      <c r="C2152">
        <v>4</v>
      </c>
    </row>
    <row r="2153" spans="2:3" hidden="1" x14ac:dyDescent="0.2">
      <c r="B2153" t="s">
        <v>8221</v>
      </c>
      <c r="C2153">
        <v>6</v>
      </c>
    </row>
    <row r="2154" spans="2:3" hidden="1" x14ac:dyDescent="0.2">
      <c r="B2154" t="s">
        <v>8221</v>
      </c>
      <c r="C2154">
        <v>4</v>
      </c>
    </row>
    <row r="2155" spans="2:3" hidden="1" x14ac:dyDescent="0.2">
      <c r="B2155" t="s">
        <v>8221</v>
      </c>
      <c r="C2155">
        <v>4</v>
      </c>
    </row>
    <row r="2156" spans="2:3" hidden="1" x14ac:dyDescent="0.2">
      <c r="B2156" t="s">
        <v>8221</v>
      </c>
      <c r="C2156">
        <v>2</v>
      </c>
    </row>
    <row r="2157" spans="2:3" hidden="1" x14ac:dyDescent="0.2">
      <c r="B2157" t="s">
        <v>8221</v>
      </c>
      <c r="C2157">
        <v>5</v>
      </c>
    </row>
    <row r="2158" spans="2:3" hidden="1" x14ac:dyDescent="0.2">
      <c r="B2158" t="s">
        <v>8221</v>
      </c>
      <c r="C2158">
        <v>83</v>
      </c>
    </row>
    <row r="2159" spans="2:3" hidden="1" x14ac:dyDescent="0.2">
      <c r="B2159" t="s">
        <v>8221</v>
      </c>
      <c r="C2159">
        <v>57</v>
      </c>
    </row>
    <row r="2160" spans="2:3" hidden="1" x14ac:dyDescent="0.2">
      <c r="B2160" t="s">
        <v>8221</v>
      </c>
      <c r="C2160">
        <v>311</v>
      </c>
    </row>
    <row r="2161" spans="2:3" hidden="1" x14ac:dyDescent="0.2">
      <c r="B2161" t="s">
        <v>8221</v>
      </c>
      <c r="C2161">
        <v>2</v>
      </c>
    </row>
    <row r="2162" spans="2:3" hidden="1" x14ac:dyDescent="0.2">
      <c r="B2162" t="s">
        <v>8221</v>
      </c>
      <c r="C2162">
        <v>16</v>
      </c>
    </row>
    <row r="2163" spans="2:3" x14ac:dyDescent="0.2">
      <c r="B2163" t="s">
        <v>8219</v>
      </c>
      <c r="C2163">
        <v>65</v>
      </c>
    </row>
    <row r="2164" spans="2:3" x14ac:dyDescent="0.2">
      <c r="B2164" t="s">
        <v>8219</v>
      </c>
      <c r="C2164">
        <v>65</v>
      </c>
    </row>
    <row r="2165" spans="2:3" x14ac:dyDescent="0.2">
      <c r="B2165" t="s">
        <v>8219</v>
      </c>
      <c r="C2165">
        <v>65</v>
      </c>
    </row>
    <row r="2166" spans="2:3" x14ac:dyDescent="0.2">
      <c r="B2166" t="s">
        <v>8219</v>
      </c>
      <c r="C2166">
        <v>65</v>
      </c>
    </row>
    <row r="2167" spans="2:3" x14ac:dyDescent="0.2">
      <c r="B2167" t="s">
        <v>8219</v>
      </c>
      <c r="C2167">
        <v>65</v>
      </c>
    </row>
    <row r="2168" spans="2:3" x14ac:dyDescent="0.2">
      <c r="B2168" t="s">
        <v>8219</v>
      </c>
      <c r="C2168">
        <v>65</v>
      </c>
    </row>
    <row r="2169" spans="2:3" x14ac:dyDescent="0.2">
      <c r="B2169" t="s">
        <v>8219</v>
      </c>
      <c r="C2169">
        <v>65</v>
      </c>
    </row>
    <row r="2170" spans="2:3" x14ac:dyDescent="0.2">
      <c r="B2170" t="s">
        <v>8219</v>
      </c>
      <c r="C2170">
        <v>65</v>
      </c>
    </row>
    <row r="2171" spans="2:3" x14ac:dyDescent="0.2">
      <c r="B2171" t="s">
        <v>8219</v>
      </c>
      <c r="C2171">
        <v>65</v>
      </c>
    </row>
    <row r="2172" spans="2:3" x14ac:dyDescent="0.2">
      <c r="B2172" t="s">
        <v>8219</v>
      </c>
      <c r="C2172">
        <v>65</v>
      </c>
    </row>
    <row r="2173" spans="2:3" x14ac:dyDescent="0.2">
      <c r="B2173" t="s">
        <v>8219</v>
      </c>
      <c r="C2173">
        <v>64</v>
      </c>
    </row>
    <row r="2174" spans="2:3" x14ac:dyDescent="0.2">
      <c r="B2174" t="s">
        <v>8219</v>
      </c>
      <c r="C2174">
        <v>64</v>
      </c>
    </row>
    <row r="2175" spans="2:3" x14ac:dyDescent="0.2">
      <c r="B2175" t="s">
        <v>8219</v>
      </c>
      <c r="C2175">
        <v>64</v>
      </c>
    </row>
    <row r="2176" spans="2:3" x14ac:dyDescent="0.2">
      <c r="B2176" t="s">
        <v>8219</v>
      </c>
      <c r="C2176">
        <v>64</v>
      </c>
    </row>
    <row r="2177" spans="2:3" x14ac:dyDescent="0.2">
      <c r="B2177" t="s">
        <v>8219</v>
      </c>
      <c r="C2177">
        <v>64</v>
      </c>
    </row>
    <row r="2178" spans="2:3" x14ac:dyDescent="0.2">
      <c r="B2178" t="s">
        <v>8219</v>
      </c>
      <c r="C2178">
        <v>64</v>
      </c>
    </row>
    <row r="2179" spans="2:3" x14ac:dyDescent="0.2">
      <c r="B2179" t="s">
        <v>8219</v>
      </c>
      <c r="C2179">
        <v>64</v>
      </c>
    </row>
    <row r="2180" spans="2:3" x14ac:dyDescent="0.2">
      <c r="B2180" t="s">
        <v>8219</v>
      </c>
      <c r="C2180">
        <v>64</v>
      </c>
    </row>
    <row r="2181" spans="2:3" x14ac:dyDescent="0.2">
      <c r="B2181" t="s">
        <v>8219</v>
      </c>
      <c r="C2181">
        <v>64</v>
      </c>
    </row>
    <row r="2182" spans="2:3" x14ac:dyDescent="0.2">
      <c r="B2182" t="s">
        <v>8219</v>
      </c>
      <c r="C2182">
        <v>64</v>
      </c>
    </row>
    <row r="2183" spans="2:3" x14ac:dyDescent="0.2">
      <c r="B2183" t="s">
        <v>8219</v>
      </c>
      <c r="C2183">
        <v>64</v>
      </c>
    </row>
    <row r="2184" spans="2:3" x14ac:dyDescent="0.2">
      <c r="B2184" t="s">
        <v>8219</v>
      </c>
      <c r="C2184">
        <v>64</v>
      </c>
    </row>
    <row r="2185" spans="2:3" x14ac:dyDescent="0.2">
      <c r="B2185" t="s">
        <v>8219</v>
      </c>
      <c r="C2185">
        <v>63</v>
      </c>
    </row>
    <row r="2186" spans="2:3" x14ac:dyDescent="0.2">
      <c r="B2186" t="s">
        <v>8219</v>
      </c>
      <c r="C2186">
        <v>63</v>
      </c>
    </row>
    <row r="2187" spans="2:3" x14ac:dyDescent="0.2">
      <c r="B2187" t="s">
        <v>8219</v>
      </c>
      <c r="C2187">
        <v>63</v>
      </c>
    </row>
    <row r="2188" spans="2:3" x14ac:dyDescent="0.2">
      <c r="B2188" t="s">
        <v>8219</v>
      </c>
      <c r="C2188">
        <v>63</v>
      </c>
    </row>
    <row r="2189" spans="2:3" x14ac:dyDescent="0.2">
      <c r="B2189" t="s">
        <v>8219</v>
      </c>
      <c r="C2189">
        <v>63</v>
      </c>
    </row>
    <row r="2190" spans="2:3" x14ac:dyDescent="0.2">
      <c r="B2190" t="s">
        <v>8219</v>
      </c>
      <c r="C2190">
        <v>63</v>
      </c>
    </row>
    <row r="2191" spans="2:3" x14ac:dyDescent="0.2">
      <c r="B2191" t="s">
        <v>8219</v>
      </c>
      <c r="C2191">
        <v>63</v>
      </c>
    </row>
    <row r="2192" spans="2:3" x14ac:dyDescent="0.2">
      <c r="B2192" t="s">
        <v>8219</v>
      </c>
      <c r="C2192">
        <v>63</v>
      </c>
    </row>
    <row r="2193" spans="2:3" x14ac:dyDescent="0.2">
      <c r="B2193" t="s">
        <v>8219</v>
      </c>
      <c r="C2193">
        <v>63</v>
      </c>
    </row>
    <row r="2194" spans="2:3" x14ac:dyDescent="0.2">
      <c r="B2194" t="s">
        <v>8219</v>
      </c>
      <c r="C2194">
        <v>63</v>
      </c>
    </row>
    <row r="2195" spans="2:3" x14ac:dyDescent="0.2">
      <c r="B2195" t="s">
        <v>8219</v>
      </c>
      <c r="C2195">
        <v>63</v>
      </c>
    </row>
    <row r="2196" spans="2:3" x14ac:dyDescent="0.2">
      <c r="B2196" t="s">
        <v>8219</v>
      </c>
      <c r="C2196">
        <v>63</v>
      </c>
    </row>
    <row r="2197" spans="2:3" x14ac:dyDescent="0.2">
      <c r="B2197" t="s">
        <v>8219</v>
      </c>
      <c r="C2197">
        <v>62</v>
      </c>
    </row>
    <row r="2198" spans="2:3" x14ac:dyDescent="0.2">
      <c r="B2198" t="s">
        <v>8219</v>
      </c>
      <c r="C2198">
        <v>62</v>
      </c>
    </row>
    <row r="2199" spans="2:3" x14ac:dyDescent="0.2">
      <c r="B2199" t="s">
        <v>8219</v>
      </c>
      <c r="C2199">
        <v>62</v>
      </c>
    </row>
    <row r="2200" spans="2:3" x14ac:dyDescent="0.2">
      <c r="B2200" t="s">
        <v>8219</v>
      </c>
      <c r="C2200">
        <v>62</v>
      </c>
    </row>
    <row r="2201" spans="2:3" x14ac:dyDescent="0.2">
      <c r="B2201" t="s">
        <v>8219</v>
      </c>
      <c r="C2201">
        <v>62</v>
      </c>
    </row>
    <row r="2202" spans="2:3" x14ac:dyDescent="0.2">
      <c r="B2202" t="s">
        <v>8219</v>
      </c>
      <c r="C2202">
        <v>62</v>
      </c>
    </row>
    <row r="2203" spans="2:3" x14ac:dyDescent="0.2">
      <c r="B2203" t="s">
        <v>8219</v>
      </c>
      <c r="C2203">
        <v>62</v>
      </c>
    </row>
    <row r="2204" spans="2:3" x14ac:dyDescent="0.2">
      <c r="B2204" t="s">
        <v>8219</v>
      </c>
      <c r="C2204">
        <v>62</v>
      </c>
    </row>
    <row r="2205" spans="2:3" x14ac:dyDescent="0.2">
      <c r="B2205" t="s">
        <v>8219</v>
      </c>
      <c r="C2205">
        <v>62</v>
      </c>
    </row>
    <row r="2206" spans="2:3" x14ac:dyDescent="0.2">
      <c r="B2206" t="s">
        <v>8219</v>
      </c>
      <c r="C2206">
        <v>62</v>
      </c>
    </row>
    <row r="2207" spans="2:3" x14ac:dyDescent="0.2">
      <c r="B2207" t="s">
        <v>8219</v>
      </c>
      <c r="C2207">
        <v>62</v>
      </c>
    </row>
    <row r="2208" spans="2:3" x14ac:dyDescent="0.2">
      <c r="B2208" t="s">
        <v>8219</v>
      </c>
      <c r="C2208">
        <v>62</v>
      </c>
    </row>
    <row r="2209" spans="2:3" x14ac:dyDescent="0.2">
      <c r="B2209" t="s">
        <v>8219</v>
      </c>
      <c r="C2209">
        <v>62</v>
      </c>
    </row>
    <row r="2210" spans="2:3" x14ac:dyDescent="0.2">
      <c r="B2210" t="s">
        <v>8219</v>
      </c>
      <c r="C2210">
        <v>62</v>
      </c>
    </row>
    <row r="2211" spans="2:3" x14ac:dyDescent="0.2">
      <c r="B2211" t="s">
        <v>8219</v>
      </c>
      <c r="C2211">
        <v>62</v>
      </c>
    </row>
    <row r="2212" spans="2:3" x14ac:dyDescent="0.2">
      <c r="B2212" t="s">
        <v>8219</v>
      </c>
      <c r="C2212">
        <v>62</v>
      </c>
    </row>
    <row r="2213" spans="2:3" x14ac:dyDescent="0.2">
      <c r="B2213" t="s">
        <v>8219</v>
      </c>
      <c r="C2213">
        <v>62</v>
      </c>
    </row>
    <row r="2214" spans="2:3" x14ac:dyDescent="0.2">
      <c r="B2214" t="s">
        <v>8219</v>
      </c>
      <c r="C2214">
        <v>62</v>
      </c>
    </row>
    <row r="2215" spans="2:3" x14ac:dyDescent="0.2">
      <c r="B2215" t="s">
        <v>8219</v>
      </c>
      <c r="C2215">
        <v>61</v>
      </c>
    </row>
    <row r="2216" spans="2:3" x14ac:dyDescent="0.2">
      <c r="B2216" t="s">
        <v>8219</v>
      </c>
      <c r="C2216">
        <v>61</v>
      </c>
    </row>
    <row r="2217" spans="2:3" x14ac:dyDescent="0.2">
      <c r="B2217" t="s">
        <v>8219</v>
      </c>
      <c r="C2217">
        <v>61</v>
      </c>
    </row>
    <row r="2218" spans="2:3" x14ac:dyDescent="0.2">
      <c r="B2218" t="s">
        <v>8219</v>
      </c>
      <c r="C2218">
        <v>61</v>
      </c>
    </row>
    <row r="2219" spans="2:3" x14ac:dyDescent="0.2">
      <c r="B2219" t="s">
        <v>8219</v>
      </c>
      <c r="C2219">
        <v>61</v>
      </c>
    </row>
    <row r="2220" spans="2:3" x14ac:dyDescent="0.2">
      <c r="B2220" t="s">
        <v>8219</v>
      </c>
      <c r="C2220">
        <v>61</v>
      </c>
    </row>
    <row r="2221" spans="2:3" x14ac:dyDescent="0.2">
      <c r="B2221" t="s">
        <v>8219</v>
      </c>
      <c r="C2221">
        <v>61</v>
      </c>
    </row>
    <row r="2222" spans="2:3" x14ac:dyDescent="0.2">
      <c r="B2222" t="s">
        <v>8219</v>
      </c>
      <c r="C2222">
        <v>61</v>
      </c>
    </row>
    <row r="2223" spans="2:3" x14ac:dyDescent="0.2">
      <c r="B2223" t="s">
        <v>8219</v>
      </c>
      <c r="C2223">
        <v>61</v>
      </c>
    </row>
    <row r="2224" spans="2:3" x14ac:dyDescent="0.2">
      <c r="B2224" t="s">
        <v>8219</v>
      </c>
      <c r="C2224">
        <v>61</v>
      </c>
    </row>
    <row r="2225" spans="2:3" x14ac:dyDescent="0.2">
      <c r="B2225" t="s">
        <v>8219</v>
      </c>
      <c r="C2225">
        <v>61</v>
      </c>
    </row>
    <row r="2226" spans="2:3" x14ac:dyDescent="0.2">
      <c r="B2226" t="s">
        <v>8219</v>
      </c>
      <c r="C2226">
        <v>61</v>
      </c>
    </row>
    <row r="2227" spans="2:3" x14ac:dyDescent="0.2">
      <c r="B2227" t="s">
        <v>8219</v>
      </c>
      <c r="C2227">
        <v>61</v>
      </c>
    </row>
    <row r="2228" spans="2:3" x14ac:dyDescent="0.2">
      <c r="B2228" t="s">
        <v>8219</v>
      </c>
      <c r="C2228">
        <v>61</v>
      </c>
    </row>
    <row r="2229" spans="2:3" x14ac:dyDescent="0.2">
      <c r="B2229" t="s">
        <v>8219</v>
      </c>
      <c r="C2229">
        <v>60</v>
      </c>
    </row>
    <row r="2230" spans="2:3" x14ac:dyDescent="0.2">
      <c r="B2230" t="s">
        <v>8219</v>
      </c>
      <c r="C2230">
        <v>60</v>
      </c>
    </row>
    <row r="2231" spans="2:3" x14ac:dyDescent="0.2">
      <c r="B2231" t="s">
        <v>8219</v>
      </c>
      <c r="C2231">
        <v>60</v>
      </c>
    </row>
    <row r="2232" spans="2:3" x14ac:dyDescent="0.2">
      <c r="B2232" t="s">
        <v>8219</v>
      </c>
      <c r="C2232">
        <v>60</v>
      </c>
    </row>
    <row r="2233" spans="2:3" x14ac:dyDescent="0.2">
      <c r="B2233" t="s">
        <v>8219</v>
      </c>
      <c r="C2233">
        <v>60</v>
      </c>
    </row>
    <row r="2234" spans="2:3" x14ac:dyDescent="0.2">
      <c r="B2234" t="s">
        <v>8219</v>
      </c>
      <c r="C2234">
        <v>60</v>
      </c>
    </row>
    <row r="2235" spans="2:3" x14ac:dyDescent="0.2">
      <c r="B2235" t="s">
        <v>8219</v>
      </c>
      <c r="C2235">
        <v>60</v>
      </c>
    </row>
    <row r="2236" spans="2:3" x14ac:dyDescent="0.2">
      <c r="B2236" t="s">
        <v>8219</v>
      </c>
      <c r="C2236">
        <v>60</v>
      </c>
    </row>
    <row r="2237" spans="2:3" x14ac:dyDescent="0.2">
      <c r="B2237" t="s">
        <v>8219</v>
      </c>
      <c r="C2237">
        <v>60</v>
      </c>
    </row>
    <row r="2238" spans="2:3" x14ac:dyDescent="0.2">
      <c r="B2238" t="s">
        <v>8219</v>
      </c>
      <c r="C2238">
        <v>60</v>
      </c>
    </row>
    <row r="2239" spans="2:3" x14ac:dyDescent="0.2">
      <c r="B2239" t="s">
        <v>8219</v>
      </c>
      <c r="C2239">
        <v>60</v>
      </c>
    </row>
    <row r="2240" spans="2:3" x14ac:dyDescent="0.2">
      <c r="B2240" t="s">
        <v>8219</v>
      </c>
      <c r="C2240">
        <v>60</v>
      </c>
    </row>
    <row r="2241" spans="2:3" x14ac:dyDescent="0.2">
      <c r="B2241" t="s">
        <v>8219</v>
      </c>
      <c r="C2241">
        <v>59</v>
      </c>
    </row>
    <row r="2242" spans="2:3" x14ac:dyDescent="0.2">
      <c r="B2242" t="s">
        <v>8219</v>
      </c>
      <c r="C2242">
        <v>59</v>
      </c>
    </row>
    <row r="2243" spans="2:3" x14ac:dyDescent="0.2">
      <c r="B2243" t="s">
        <v>8219</v>
      </c>
      <c r="C2243">
        <v>59</v>
      </c>
    </row>
    <row r="2244" spans="2:3" x14ac:dyDescent="0.2">
      <c r="B2244" t="s">
        <v>8219</v>
      </c>
      <c r="C2244">
        <v>59</v>
      </c>
    </row>
    <row r="2245" spans="2:3" x14ac:dyDescent="0.2">
      <c r="B2245" t="s">
        <v>8219</v>
      </c>
      <c r="C2245">
        <v>59</v>
      </c>
    </row>
    <row r="2246" spans="2:3" x14ac:dyDescent="0.2">
      <c r="B2246" t="s">
        <v>8219</v>
      </c>
      <c r="C2246">
        <v>59</v>
      </c>
    </row>
    <row r="2247" spans="2:3" x14ac:dyDescent="0.2">
      <c r="B2247" t="s">
        <v>8219</v>
      </c>
      <c r="C2247">
        <v>59</v>
      </c>
    </row>
    <row r="2248" spans="2:3" x14ac:dyDescent="0.2">
      <c r="B2248" t="s">
        <v>8219</v>
      </c>
      <c r="C2248">
        <v>59</v>
      </c>
    </row>
    <row r="2249" spans="2:3" x14ac:dyDescent="0.2">
      <c r="B2249" t="s">
        <v>8219</v>
      </c>
      <c r="C2249">
        <v>59</v>
      </c>
    </row>
    <row r="2250" spans="2:3" x14ac:dyDescent="0.2">
      <c r="B2250" t="s">
        <v>8219</v>
      </c>
      <c r="C2250">
        <v>59</v>
      </c>
    </row>
    <row r="2251" spans="2:3" x14ac:dyDescent="0.2">
      <c r="B2251" t="s">
        <v>8219</v>
      </c>
      <c r="C2251">
        <v>59</v>
      </c>
    </row>
    <row r="2252" spans="2:3" x14ac:dyDescent="0.2">
      <c r="B2252" t="s">
        <v>8219</v>
      </c>
      <c r="C2252">
        <v>58</v>
      </c>
    </row>
    <row r="2253" spans="2:3" x14ac:dyDescent="0.2">
      <c r="B2253" t="s">
        <v>8219</v>
      </c>
      <c r="C2253">
        <v>58</v>
      </c>
    </row>
    <row r="2254" spans="2:3" x14ac:dyDescent="0.2">
      <c r="B2254" t="s">
        <v>8219</v>
      </c>
      <c r="C2254">
        <v>58</v>
      </c>
    </row>
    <row r="2255" spans="2:3" x14ac:dyDescent="0.2">
      <c r="B2255" t="s">
        <v>8219</v>
      </c>
      <c r="C2255">
        <v>58</v>
      </c>
    </row>
    <row r="2256" spans="2:3" x14ac:dyDescent="0.2">
      <c r="B2256" t="s">
        <v>8219</v>
      </c>
      <c r="C2256">
        <v>58</v>
      </c>
    </row>
    <row r="2257" spans="2:3" x14ac:dyDescent="0.2">
      <c r="B2257" t="s">
        <v>8219</v>
      </c>
      <c r="C2257">
        <v>58</v>
      </c>
    </row>
    <row r="2258" spans="2:3" x14ac:dyDescent="0.2">
      <c r="B2258" t="s">
        <v>8219</v>
      </c>
      <c r="C2258">
        <v>58</v>
      </c>
    </row>
    <row r="2259" spans="2:3" x14ac:dyDescent="0.2">
      <c r="B2259" t="s">
        <v>8219</v>
      </c>
      <c r="C2259">
        <v>58</v>
      </c>
    </row>
    <row r="2260" spans="2:3" x14ac:dyDescent="0.2">
      <c r="B2260" t="s">
        <v>8219</v>
      </c>
      <c r="C2260">
        <v>58</v>
      </c>
    </row>
    <row r="2261" spans="2:3" x14ac:dyDescent="0.2">
      <c r="B2261" t="s">
        <v>8219</v>
      </c>
      <c r="C2261">
        <v>58</v>
      </c>
    </row>
    <row r="2262" spans="2:3" x14ac:dyDescent="0.2">
      <c r="B2262" t="s">
        <v>8219</v>
      </c>
      <c r="C2262">
        <v>58</v>
      </c>
    </row>
    <row r="2263" spans="2:3" x14ac:dyDescent="0.2">
      <c r="B2263" t="s">
        <v>8219</v>
      </c>
      <c r="C2263">
        <v>58</v>
      </c>
    </row>
    <row r="2264" spans="2:3" x14ac:dyDescent="0.2">
      <c r="B2264" t="s">
        <v>8219</v>
      </c>
      <c r="C2264">
        <v>57</v>
      </c>
    </row>
    <row r="2265" spans="2:3" x14ac:dyDescent="0.2">
      <c r="B2265" t="s">
        <v>8219</v>
      </c>
      <c r="C2265">
        <v>57</v>
      </c>
    </row>
    <row r="2266" spans="2:3" x14ac:dyDescent="0.2">
      <c r="B2266" t="s">
        <v>8219</v>
      </c>
      <c r="C2266">
        <v>57</v>
      </c>
    </row>
    <row r="2267" spans="2:3" x14ac:dyDescent="0.2">
      <c r="B2267" t="s">
        <v>8219</v>
      </c>
      <c r="C2267">
        <v>57</v>
      </c>
    </row>
    <row r="2268" spans="2:3" x14ac:dyDescent="0.2">
      <c r="B2268" t="s">
        <v>8219</v>
      </c>
      <c r="C2268">
        <v>57</v>
      </c>
    </row>
    <row r="2269" spans="2:3" x14ac:dyDescent="0.2">
      <c r="B2269" t="s">
        <v>8219</v>
      </c>
      <c r="C2269">
        <v>57</v>
      </c>
    </row>
    <row r="2270" spans="2:3" x14ac:dyDescent="0.2">
      <c r="B2270" t="s">
        <v>8219</v>
      </c>
      <c r="C2270">
        <v>57</v>
      </c>
    </row>
    <row r="2271" spans="2:3" x14ac:dyDescent="0.2">
      <c r="B2271" t="s">
        <v>8219</v>
      </c>
      <c r="C2271">
        <v>57</v>
      </c>
    </row>
    <row r="2272" spans="2:3" x14ac:dyDescent="0.2">
      <c r="B2272" t="s">
        <v>8219</v>
      </c>
      <c r="C2272">
        <v>57</v>
      </c>
    </row>
    <row r="2273" spans="2:3" x14ac:dyDescent="0.2">
      <c r="B2273" t="s">
        <v>8219</v>
      </c>
      <c r="C2273">
        <v>57</v>
      </c>
    </row>
    <row r="2274" spans="2:3" x14ac:dyDescent="0.2">
      <c r="B2274" t="s">
        <v>8219</v>
      </c>
      <c r="C2274">
        <v>57</v>
      </c>
    </row>
    <row r="2275" spans="2:3" x14ac:dyDescent="0.2">
      <c r="B2275" t="s">
        <v>8219</v>
      </c>
      <c r="C2275">
        <v>57</v>
      </c>
    </row>
    <row r="2276" spans="2:3" x14ac:dyDescent="0.2">
      <c r="B2276" t="s">
        <v>8219</v>
      </c>
      <c r="C2276">
        <v>57</v>
      </c>
    </row>
    <row r="2277" spans="2:3" x14ac:dyDescent="0.2">
      <c r="B2277" t="s">
        <v>8219</v>
      </c>
      <c r="C2277">
        <v>57</v>
      </c>
    </row>
    <row r="2278" spans="2:3" x14ac:dyDescent="0.2">
      <c r="B2278" t="s">
        <v>8219</v>
      </c>
      <c r="C2278">
        <v>57</v>
      </c>
    </row>
    <row r="2279" spans="2:3" x14ac:dyDescent="0.2">
      <c r="B2279" t="s">
        <v>8219</v>
      </c>
      <c r="C2279">
        <v>57</v>
      </c>
    </row>
    <row r="2280" spans="2:3" x14ac:dyDescent="0.2">
      <c r="B2280" t="s">
        <v>8219</v>
      </c>
      <c r="C2280">
        <v>57</v>
      </c>
    </row>
    <row r="2281" spans="2:3" x14ac:dyDescent="0.2">
      <c r="B2281" t="s">
        <v>8219</v>
      </c>
      <c r="C2281">
        <v>57</v>
      </c>
    </row>
    <row r="2282" spans="2:3" x14ac:dyDescent="0.2">
      <c r="B2282" t="s">
        <v>8219</v>
      </c>
      <c r="C2282">
        <v>57</v>
      </c>
    </row>
    <row r="2283" spans="2:3" x14ac:dyDescent="0.2">
      <c r="B2283" t="s">
        <v>8219</v>
      </c>
      <c r="C2283">
        <v>57</v>
      </c>
    </row>
    <row r="2284" spans="2:3" x14ac:dyDescent="0.2">
      <c r="B2284" t="s">
        <v>8219</v>
      </c>
      <c r="C2284">
        <v>57</v>
      </c>
    </row>
    <row r="2285" spans="2:3" x14ac:dyDescent="0.2">
      <c r="B2285" t="s">
        <v>8219</v>
      </c>
      <c r="C2285">
        <v>56</v>
      </c>
    </row>
    <row r="2286" spans="2:3" x14ac:dyDescent="0.2">
      <c r="B2286" t="s">
        <v>8219</v>
      </c>
      <c r="C2286">
        <v>56</v>
      </c>
    </row>
    <row r="2287" spans="2:3" x14ac:dyDescent="0.2">
      <c r="B2287" t="s">
        <v>8219</v>
      </c>
      <c r="C2287">
        <v>56</v>
      </c>
    </row>
    <row r="2288" spans="2:3" x14ac:dyDescent="0.2">
      <c r="B2288" t="s">
        <v>8219</v>
      </c>
      <c r="C2288">
        <v>56</v>
      </c>
    </row>
    <row r="2289" spans="2:3" x14ac:dyDescent="0.2">
      <c r="B2289" t="s">
        <v>8219</v>
      </c>
      <c r="C2289">
        <v>56</v>
      </c>
    </row>
    <row r="2290" spans="2:3" x14ac:dyDescent="0.2">
      <c r="B2290" t="s">
        <v>8219</v>
      </c>
      <c r="C2290">
        <v>56</v>
      </c>
    </row>
    <row r="2291" spans="2:3" x14ac:dyDescent="0.2">
      <c r="B2291" t="s">
        <v>8219</v>
      </c>
      <c r="C2291">
        <v>56</v>
      </c>
    </row>
    <row r="2292" spans="2:3" x14ac:dyDescent="0.2">
      <c r="B2292" t="s">
        <v>8219</v>
      </c>
      <c r="C2292">
        <v>56</v>
      </c>
    </row>
    <row r="2293" spans="2:3" x14ac:dyDescent="0.2">
      <c r="B2293" t="s">
        <v>8219</v>
      </c>
      <c r="C2293">
        <v>56</v>
      </c>
    </row>
    <row r="2294" spans="2:3" x14ac:dyDescent="0.2">
      <c r="B2294" t="s">
        <v>8219</v>
      </c>
      <c r="C2294">
        <v>56</v>
      </c>
    </row>
    <row r="2295" spans="2:3" x14ac:dyDescent="0.2">
      <c r="B2295" t="s">
        <v>8219</v>
      </c>
      <c r="C2295">
        <v>56</v>
      </c>
    </row>
    <row r="2296" spans="2:3" x14ac:dyDescent="0.2">
      <c r="B2296" t="s">
        <v>8219</v>
      </c>
      <c r="C2296">
        <v>56</v>
      </c>
    </row>
    <row r="2297" spans="2:3" x14ac:dyDescent="0.2">
      <c r="B2297" t="s">
        <v>8219</v>
      </c>
      <c r="C2297">
        <v>56</v>
      </c>
    </row>
    <row r="2298" spans="2:3" x14ac:dyDescent="0.2">
      <c r="B2298" t="s">
        <v>8219</v>
      </c>
      <c r="C2298">
        <v>56</v>
      </c>
    </row>
    <row r="2299" spans="2:3" x14ac:dyDescent="0.2">
      <c r="B2299" t="s">
        <v>8219</v>
      </c>
      <c r="C2299">
        <v>56</v>
      </c>
    </row>
    <row r="2300" spans="2:3" x14ac:dyDescent="0.2">
      <c r="B2300" t="s">
        <v>8219</v>
      </c>
      <c r="C2300">
        <v>55</v>
      </c>
    </row>
    <row r="2301" spans="2:3" x14ac:dyDescent="0.2">
      <c r="B2301" t="s">
        <v>8219</v>
      </c>
      <c r="C2301">
        <v>55</v>
      </c>
    </row>
    <row r="2302" spans="2:3" x14ac:dyDescent="0.2">
      <c r="B2302" t="s">
        <v>8219</v>
      </c>
      <c r="C2302">
        <v>55</v>
      </c>
    </row>
    <row r="2303" spans="2:3" x14ac:dyDescent="0.2">
      <c r="B2303" t="s">
        <v>8219</v>
      </c>
      <c r="C2303">
        <v>55</v>
      </c>
    </row>
    <row r="2304" spans="2:3" x14ac:dyDescent="0.2">
      <c r="B2304" t="s">
        <v>8219</v>
      </c>
      <c r="C2304">
        <v>55</v>
      </c>
    </row>
    <row r="2305" spans="2:3" x14ac:dyDescent="0.2">
      <c r="B2305" t="s">
        <v>8219</v>
      </c>
      <c r="C2305">
        <v>55</v>
      </c>
    </row>
    <row r="2306" spans="2:3" x14ac:dyDescent="0.2">
      <c r="B2306" t="s">
        <v>8219</v>
      </c>
      <c r="C2306">
        <v>55</v>
      </c>
    </row>
    <row r="2307" spans="2:3" x14ac:dyDescent="0.2">
      <c r="B2307" t="s">
        <v>8219</v>
      </c>
      <c r="C2307">
        <v>55</v>
      </c>
    </row>
    <row r="2308" spans="2:3" x14ac:dyDescent="0.2">
      <c r="B2308" t="s">
        <v>8219</v>
      </c>
      <c r="C2308">
        <v>55</v>
      </c>
    </row>
    <row r="2309" spans="2:3" x14ac:dyDescent="0.2">
      <c r="B2309" t="s">
        <v>8219</v>
      </c>
      <c r="C2309">
        <v>55</v>
      </c>
    </row>
    <row r="2310" spans="2:3" x14ac:dyDescent="0.2">
      <c r="B2310" t="s">
        <v>8219</v>
      </c>
      <c r="C2310">
        <v>55</v>
      </c>
    </row>
    <row r="2311" spans="2:3" x14ac:dyDescent="0.2">
      <c r="B2311" t="s">
        <v>8219</v>
      </c>
      <c r="C2311">
        <v>55</v>
      </c>
    </row>
    <row r="2312" spans="2:3" x14ac:dyDescent="0.2">
      <c r="B2312" t="s">
        <v>8219</v>
      </c>
      <c r="C2312">
        <v>55</v>
      </c>
    </row>
    <row r="2313" spans="2:3" x14ac:dyDescent="0.2">
      <c r="B2313" t="s">
        <v>8219</v>
      </c>
      <c r="C2313">
        <v>55</v>
      </c>
    </row>
    <row r="2314" spans="2:3" x14ac:dyDescent="0.2">
      <c r="B2314" t="s">
        <v>8219</v>
      </c>
      <c r="C2314">
        <v>54</v>
      </c>
    </row>
    <row r="2315" spans="2:3" x14ac:dyDescent="0.2">
      <c r="B2315" t="s">
        <v>8219</v>
      </c>
      <c r="C2315">
        <v>54</v>
      </c>
    </row>
    <row r="2316" spans="2:3" x14ac:dyDescent="0.2">
      <c r="B2316" t="s">
        <v>8219</v>
      </c>
      <c r="C2316">
        <v>54</v>
      </c>
    </row>
    <row r="2317" spans="2:3" x14ac:dyDescent="0.2">
      <c r="B2317" t="s">
        <v>8219</v>
      </c>
      <c r="C2317">
        <v>54</v>
      </c>
    </row>
    <row r="2318" spans="2:3" x14ac:dyDescent="0.2">
      <c r="B2318" t="s">
        <v>8219</v>
      </c>
      <c r="C2318">
        <v>54</v>
      </c>
    </row>
    <row r="2319" spans="2:3" x14ac:dyDescent="0.2">
      <c r="B2319" t="s">
        <v>8219</v>
      </c>
      <c r="C2319">
        <v>54</v>
      </c>
    </row>
    <row r="2320" spans="2:3" x14ac:dyDescent="0.2">
      <c r="B2320" t="s">
        <v>8219</v>
      </c>
      <c r="C2320">
        <v>54</v>
      </c>
    </row>
    <row r="2321" spans="2:3" x14ac:dyDescent="0.2">
      <c r="B2321" t="s">
        <v>8219</v>
      </c>
      <c r="C2321">
        <v>54</v>
      </c>
    </row>
    <row r="2322" spans="2:3" x14ac:dyDescent="0.2">
      <c r="B2322" t="s">
        <v>8219</v>
      </c>
      <c r="C2322">
        <v>54</v>
      </c>
    </row>
    <row r="2323" spans="2:3" hidden="1" x14ac:dyDescent="0.2">
      <c r="B2323" t="s">
        <v>8222</v>
      </c>
      <c r="C2323">
        <v>64</v>
      </c>
    </row>
    <row r="2324" spans="2:3" hidden="1" x14ac:dyDescent="0.2">
      <c r="B2324" t="s">
        <v>8222</v>
      </c>
      <c r="C2324">
        <v>4</v>
      </c>
    </row>
    <row r="2325" spans="2:3" hidden="1" x14ac:dyDescent="0.2">
      <c r="B2325" t="s">
        <v>8222</v>
      </c>
      <c r="C2325">
        <v>4</v>
      </c>
    </row>
    <row r="2326" spans="2:3" hidden="1" x14ac:dyDescent="0.2">
      <c r="B2326" t="s">
        <v>8222</v>
      </c>
      <c r="C2326">
        <v>61</v>
      </c>
    </row>
    <row r="2327" spans="2:3" hidden="1" x14ac:dyDescent="0.2">
      <c r="B2327" t="s">
        <v>8222</v>
      </c>
      <c r="C2327">
        <v>7</v>
      </c>
    </row>
    <row r="2328" spans="2:3" hidden="1" x14ac:dyDescent="0.2">
      <c r="B2328" t="s">
        <v>8222</v>
      </c>
      <c r="C2328">
        <v>1</v>
      </c>
    </row>
    <row r="2329" spans="2:3" x14ac:dyDescent="0.2">
      <c r="B2329" t="s">
        <v>8219</v>
      </c>
      <c r="C2329">
        <v>54</v>
      </c>
    </row>
    <row r="2330" spans="2:3" x14ac:dyDescent="0.2">
      <c r="B2330" t="s">
        <v>8219</v>
      </c>
      <c r="C2330">
        <v>54</v>
      </c>
    </row>
    <row r="2331" spans="2:3" x14ac:dyDescent="0.2">
      <c r="B2331" t="s">
        <v>8219</v>
      </c>
      <c r="C2331">
        <v>54</v>
      </c>
    </row>
    <row r="2332" spans="2:3" x14ac:dyDescent="0.2">
      <c r="B2332" t="s">
        <v>8219</v>
      </c>
      <c r="C2332">
        <v>53</v>
      </c>
    </row>
    <row r="2333" spans="2:3" x14ac:dyDescent="0.2">
      <c r="B2333" t="s">
        <v>8219</v>
      </c>
      <c r="C2333">
        <v>53</v>
      </c>
    </row>
    <row r="2334" spans="2:3" x14ac:dyDescent="0.2">
      <c r="B2334" t="s">
        <v>8219</v>
      </c>
      <c r="C2334">
        <v>53</v>
      </c>
    </row>
    <row r="2335" spans="2:3" x14ac:dyDescent="0.2">
      <c r="B2335" t="s">
        <v>8219</v>
      </c>
      <c r="C2335">
        <v>53</v>
      </c>
    </row>
    <row r="2336" spans="2:3" x14ac:dyDescent="0.2">
      <c r="B2336" t="s">
        <v>8219</v>
      </c>
      <c r="C2336">
        <v>53</v>
      </c>
    </row>
    <row r="2337" spans="2:3" x14ac:dyDescent="0.2">
      <c r="B2337" t="s">
        <v>8219</v>
      </c>
      <c r="C2337">
        <v>53</v>
      </c>
    </row>
    <row r="2338" spans="2:3" x14ac:dyDescent="0.2">
      <c r="B2338" t="s">
        <v>8219</v>
      </c>
      <c r="C2338">
        <v>53</v>
      </c>
    </row>
    <row r="2339" spans="2:3" x14ac:dyDescent="0.2">
      <c r="B2339" t="s">
        <v>8219</v>
      </c>
      <c r="C2339">
        <v>52</v>
      </c>
    </row>
    <row r="2340" spans="2:3" x14ac:dyDescent="0.2">
      <c r="B2340" t="s">
        <v>8219</v>
      </c>
      <c r="C2340">
        <v>52</v>
      </c>
    </row>
    <row r="2341" spans="2:3" x14ac:dyDescent="0.2">
      <c r="B2341" t="s">
        <v>8219</v>
      </c>
      <c r="C2341">
        <v>52</v>
      </c>
    </row>
    <row r="2342" spans="2:3" x14ac:dyDescent="0.2">
      <c r="B2342" t="s">
        <v>8219</v>
      </c>
      <c r="C2342">
        <v>52</v>
      </c>
    </row>
    <row r="2343" spans="2:3" hidden="1" x14ac:dyDescent="0.2">
      <c r="B2343" t="s">
        <v>8220</v>
      </c>
      <c r="C2343">
        <v>0</v>
      </c>
    </row>
    <row r="2344" spans="2:3" hidden="1" x14ac:dyDescent="0.2">
      <c r="B2344" t="s">
        <v>8220</v>
      </c>
      <c r="C2344">
        <v>0</v>
      </c>
    </row>
    <row r="2345" spans="2:3" hidden="1" x14ac:dyDescent="0.2">
      <c r="B2345" t="s">
        <v>8220</v>
      </c>
      <c r="C2345">
        <v>1</v>
      </c>
    </row>
    <row r="2346" spans="2:3" hidden="1" x14ac:dyDescent="0.2">
      <c r="B2346" t="s">
        <v>8220</v>
      </c>
      <c r="C2346">
        <v>1</v>
      </c>
    </row>
    <row r="2347" spans="2:3" hidden="1" x14ac:dyDescent="0.2">
      <c r="B2347" t="s">
        <v>8220</v>
      </c>
      <c r="C2347">
        <v>0</v>
      </c>
    </row>
    <row r="2348" spans="2:3" hidden="1" x14ac:dyDescent="0.2">
      <c r="B2348" t="s">
        <v>8220</v>
      </c>
      <c r="C2348">
        <v>3</v>
      </c>
    </row>
    <row r="2349" spans="2:3" hidden="1" x14ac:dyDescent="0.2">
      <c r="B2349" t="s">
        <v>8220</v>
      </c>
      <c r="C2349">
        <v>1</v>
      </c>
    </row>
    <row r="2350" spans="2:3" hidden="1" x14ac:dyDescent="0.2">
      <c r="B2350" t="s">
        <v>8220</v>
      </c>
      <c r="C2350">
        <v>5</v>
      </c>
    </row>
    <row r="2351" spans="2:3" hidden="1" x14ac:dyDescent="0.2">
      <c r="B2351" t="s">
        <v>8220</v>
      </c>
      <c r="C2351">
        <v>0</v>
      </c>
    </row>
    <row r="2352" spans="2:3" hidden="1" x14ac:dyDescent="0.2">
      <c r="B2352" t="s">
        <v>8220</v>
      </c>
      <c r="C2352">
        <v>0</v>
      </c>
    </row>
    <row r="2353" spans="2:3" hidden="1" x14ac:dyDescent="0.2">
      <c r="B2353" t="s">
        <v>8220</v>
      </c>
      <c r="C2353">
        <v>7</v>
      </c>
    </row>
    <row r="2354" spans="2:3" hidden="1" x14ac:dyDescent="0.2">
      <c r="B2354" t="s">
        <v>8220</v>
      </c>
      <c r="C2354">
        <v>0</v>
      </c>
    </row>
    <row r="2355" spans="2:3" hidden="1" x14ac:dyDescent="0.2">
      <c r="B2355" t="s">
        <v>8220</v>
      </c>
      <c r="C2355">
        <v>0</v>
      </c>
    </row>
    <row r="2356" spans="2:3" hidden="1" x14ac:dyDescent="0.2">
      <c r="B2356" t="s">
        <v>8220</v>
      </c>
      <c r="C2356">
        <v>1</v>
      </c>
    </row>
    <row r="2357" spans="2:3" hidden="1" x14ac:dyDescent="0.2">
      <c r="B2357" t="s">
        <v>8220</v>
      </c>
      <c r="C2357">
        <v>2</v>
      </c>
    </row>
    <row r="2358" spans="2:3" hidden="1" x14ac:dyDescent="0.2">
      <c r="B2358" t="s">
        <v>8220</v>
      </c>
      <c r="C2358">
        <v>0</v>
      </c>
    </row>
    <row r="2359" spans="2:3" hidden="1" x14ac:dyDescent="0.2">
      <c r="B2359" t="s">
        <v>8220</v>
      </c>
      <c r="C2359">
        <v>0</v>
      </c>
    </row>
    <row r="2360" spans="2:3" hidden="1" x14ac:dyDescent="0.2">
      <c r="B2360" t="s">
        <v>8220</v>
      </c>
      <c r="C2360">
        <v>0</v>
      </c>
    </row>
    <row r="2361" spans="2:3" hidden="1" x14ac:dyDescent="0.2">
      <c r="B2361" t="s">
        <v>8220</v>
      </c>
      <c r="C2361">
        <v>3</v>
      </c>
    </row>
    <row r="2362" spans="2:3" hidden="1" x14ac:dyDescent="0.2">
      <c r="B2362" t="s">
        <v>8220</v>
      </c>
      <c r="C2362">
        <v>1</v>
      </c>
    </row>
    <row r="2363" spans="2:3" hidden="1" x14ac:dyDescent="0.2">
      <c r="B2363" t="s">
        <v>8220</v>
      </c>
      <c r="C2363">
        <v>0</v>
      </c>
    </row>
    <row r="2364" spans="2:3" hidden="1" x14ac:dyDescent="0.2">
      <c r="B2364" t="s">
        <v>8220</v>
      </c>
      <c r="C2364">
        <v>2</v>
      </c>
    </row>
    <row r="2365" spans="2:3" hidden="1" x14ac:dyDescent="0.2">
      <c r="B2365" t="s">
        <v>8220</v>
      </c>
      <c r="C2365">
        <v>0</v>
      </c>
    </row>
    <row r="2366" spans="2:3" hidden="1" x14ac:dyDescent="0.2">
      <c r="B2366" t="s">
        <v>8220</v>
      </c>
      <c r="C2366">
        <v>0</v>
      </c>
    </row>
    <row r="2367" spans="2:3" hidden="1" x14ac:dyDescent="0.2">
      <c r="B2367" t="s">
        <v>8220</v>
      </c>
      <c r="C2367">
        <v>0</v>
      </c>
    </row>
    <row r="2368" spans="2:3" hidden="1" x14ac:dyDescent="0.2">
      <c r="B2368" t="s">
        <v>8220</v>
      </c>
      <c r="C2368">
        <v>27</v>
      </c>
    </row>
    <row r="2369" spans="2:3" hidden="1" x14ac:dyDescent="0.2">
      <c r="B2369" t="s">
        <v>8220</v>
      </c>
      <c r="C2369">
        <v>14</v>
      </c>
    </row>
    <row r="2370" spans="2:3" hidden="1" x14ac:dyDescent="0.2">
      <c r="B2370" t="s">
        <v>8220</v>
      </c>
      <c r="C2370">
        <v>2</v>
      </c>
    </row>
    <row r="2371" spans="2:3" hidden="1" x14ac:dyDescent="0.2">
      <c r="B2371" t="s">
        <v>8220</v>
      </c>
      <c r="C2371">
        <v>0</v>
      </c>
    </row>
    <row r="2372" spans="2:3" hidden="1" x14ac:dyDescent="0.2">
      <c r="B2372" t="s">
        <v>8220</v>
      </c>
      <c r="C2372">
        <v>4</v>
      </c>
    </row>
    <row r="2373" spans="2:3" hidden="1" x14ac:dyDescent="0.2">
      <c r="B2373" t="s">
        <v>8220</v>
      </c>
      <c r="C2373">
        <v>0</v>
      </c>
    </row>
    <row r="2374" spans="2:3" hidden="1" x14ac:dyDescent="0.2">
      <c r="B2374" t="s">
        <v>8220</v>
      </c>
      <c r="C2374">
        <v>6</v>
      </c>
    </row>
    <row r="2375" spans="2:3" hidden="1" x14ac:dyDescent="0.2">
      <c r="B2375" t="s">
        <v>8220</v>
      </c>
      <c r="C2375">
        <v>1</v>
      </c>
    </row>
    <row r="2376" spans="2:3" hidden="1" x14ac:dyDescent="0.2">
      <c r="B2376" t="s">
        <v>8220</v>
      </c>
      <c r="C2376">
        <v>1</v>
      </c>
    </row>
    <row r="2377" spans="2:3" hidden="1" x14ac:dyDescent="0.2">
      <c r="B2377" t="s">
        <v>8220</v>
      </c>
      <c r="C2377">
        <v>0</v>
      </c>
    </row>
    <row r="2378" spans="2:3" hidden="1" x14ac:dyDescent="0.2">
      <c r="B2378" t="s">
        <v>8220</v>
      </c>
      <c r="C2378">
        <v>4</v>
      </c>
    </row>
    <row r="2379" spans="2:3" hidden="1" x14ac:dyDescent="0.2">
      <c r="B2379" t="s">
        <v>8220</v>
      </c>
      <c r="C2379">
        <v>0</v>
      </c>
    </row>
    <row r="2380" spans="2:3" hidden="1" x14ac:dyDescent="0.2">
      <c r="B2380" t="s">
        <v>8220</v>
      </c>
      <c r="C2380">
        <v>0</v>
      </c>
    </row>
    <row r="2381" spans="2:3" hidden="1" x14ac:dyDescent="0.2">
      <c r="B2381" t="s">
        <v>8220</v>
      </c>
      <c r="C2381">
        <v>0</v>
      </c>
    </row>
    <row r="2382" spans="2:3" hidden="1" x14ac:dyDescent="0.2">
      <c r="B2382" t="s">
        <v>8220</v>
      </c>
      <c r="C2382">
        <v>3</v>
      </c>
    </row>
    <row r="2383" spans="2:3" hidden="1" x14ac:dyDescent="0.2">
      <c r="B2383" t="s">
        <v>8220</v>
      </c>
      <c r="C2383">
        <v>7</v>
      </c>
    </row>
    <row r="2384" spans="2:3" hidden="1" x14ac:dyDescent="0.2">
      <c r="B2384" t="s">
        <v>8220</v>
      </c>
      <c r="C2384">
        <v>2</v>
      </c>
    </row>
    <row r="2385" spans="2:3" hidden="1" x14ac:dyDescent="0.2">
      <c r="B2385" t="s">
        <v>8220</v>
      </c>
      <c r="C2385">
        <v>3</v>
      </c>
    </row>
    <row r="2386" spans="2:3" hidden="1" x14ac:dyDescent="0.2">
      <c r="B2386" t="s">
        <v>8220</v>
      </c>
      <c r="C2386">
        <v>8</v>
      </c>
    </row>
    <row r="2387" spans="2:3" hidden="1" x14ac:dyDescent="0.2">
      <c r="B2387" t="s">
        <v>8220</v>
      </c>
      <c r="C2387">
        <v>7</v>
      </c>
    </row>
    <row r="2388" spans="2:3" hidden="1" x14ac:dyDescent="0.2">
      <c r="B2388" t="s">
        <v>8220</v>
      </c>
      <c r="C2388">
        <v>0</v>
      </c>
    </row>
    <row r="2389" spans="2:3" hidden="1" x14ac:dyDescent="0.2">
      <c r="B2389" t="s">
        <v>8220</v>
      </c>
      <c r="C2389">
        <v>3</v>
      </c>
    </row>
    <row r="2390" spans="2:3" hidden="1" x14ac:dyDescent="0.2">
      <c r="B2390" t="s">
        <v>8220</v>
      </c>
      <c r="C2390">
        <v>8</v>
      </c>
    </row>
    <row r="2391" spans="2:3" hidden="1" x14ac:dyDescent="0.2">
      <c r="B2391" t="s">
        <v>8220</v>
      </c>
      <c r="C2391">
        <v>1</v>
      </c>
    </row>
    <row r="2392" spans="2:3" hidden="1" x14ac:dyDescent="0.2">
      <c r="B2392" t="s">
        <v>8220</v>
      </c>
      <c r="C2392">
        <v>0</v>
      </c>
    </row>
    <row r="2393" spans="2:3" hidden="1" x14ac:dyDescent="0.2">
      <c r="B2393" t="s">
        <v>8220</v>
      </c>
      <c r="C2393">
        <v>1</v>
      </c>
    </row>
    <row r="2394" spans="2:3" hidden="1" x14ac:dyDescent="0.2">
      <c r="B2394" t="s">
        <v>8220</v>
      </c>
      <c r="C2394">
        <v>0</v>
      </c>
    </row>
    <row r="2395" spans="2:3" hidden="1" x14ac:dyDescent="0.2">
      <c r="B2395" t="s">
        <v>8220</v>
      </c>
      <c r="C2395">
        <v>1</v>
      </c>
    </row>
    <row r="2396" spans="2:3" hidden="1" x14ac:dyDescent="0.2">
      <c r="B2396" t="s">
        <v>8220</v>
      </c>
      <c r="C2396">
        <v>2</v>
      </c>
    </row>
    <row r="2397" spans="2:3" hidden="1" x14ac:dyDescent="0.2">
      <c r="B2397" t="s">
        <v>8220</v>
      </c>
      <c r="C2397">
        <v>0</v>
      </c>
    </row>
    <row r="2398" spans="2:3" hidden="1" x14ac:dyDescent="0.2">
      <c r="B2398" t="s">
        <v>8220</v>
      </c>
      <c r="C2398">
        <v>1</v>
      </c>
    </row>
    <row r="2399" spans="2:3" hidden="1" x14ac:dyDescent="0.2">
      <c r="B2399" t="s">
        <v>8220</v>
      </c>
      <c r="C2399">
        <v>0</v>
      </c>
    </row>
    <row r="2400" spans="2:3" hidden="1" x14ac:dyDescent="0.2">
      <c r="B2400" t="s">
        <v>8220</v>
      </c>
      <c r="C2400">
        <v>0</v>
      </c>
    </row>
    <row r="2401" spans="2:3" hidden="1" x14ac:dyDescent="0.2">
      <c r="B2401" t="s">
        <v>8220</v>
      </c>
      <c r="C2401">
        <v>0</v>
      </c>
    </row>
    <row r="2402" spans="2:3" hidden="1" x14ac:dyDescent="0.2">
      <c r="B2402" t="s">
        <v>8220</v>
      </c>
      <c r="C2402">
        <v>0</v>
      </c>
    </row>
    <row r="2403" spans="2:3" hidden="1" x14ac:dyDescent="0.2">
      <c r="B2403" t="s">
        <v>8221</v>
      </c>
      <c r="C2403">
        <v>9</v>
      </c>
    </row>
    <row r="2404" spans="2:3" hidden="1" x14ac:dyDescent="0.2">
      <c r="B2404" t="s">
        <v>8221</v>
      </c>
      <c r="C2404">
        <v>1</v>
      </c>
    </row>
    <row r="2405" spans="2:3" hidden="1" x14ac:dyDescent="0.2">
      <c r="B2405" t="s">
        <v>8221</v>
      </c>
      <c r="C2405">
        <v>12</v>
      </c>
    </row>
    <row r="2406" spans="2:3" hidden="1" x14ac:dyDescent="0.2">
      <c r="B2406" t="s">
        <v>8221</v>
      </c>
      <c r="C2406">
        <v>0</v>
      </c>
    </row>
    <row r="2407" spans="2:3" hidden="1" x14ac:dyDescent="0.2">
      <c r="B2407" t="s">
        <v>8221</v>
      </c>
      <c r="C2407">
        <v>20</v>
      </c>
    </row>
    <row r="2408" spans="2:3" hidden="1" x14ac:dyDescent="0.2">
      <c r="B2408" t="s">
        <v>8221</v>
      </c>
      <c r="C2408">
        <v>16</v>
      </c>
    </row>
    <row r="2409" spans="2:3" hidden="1" x14ac:dyDescent="0.2">
      <c r="B2409" t="s">
        <v>8221</v>
      </c>
      <c r="C2409">
        <v>33</v>
      </c>
    </row>
    <row r="2410" spans="2:3" hidden="1" x14ac:dyDescent="0.2">
      <c r="B2410" t="s">
        <v>8221</v>
      </c>
      <c r="C2410">
        <v>2</v>
      </c>
    </row>
    <row r="2411" spans="2:3" hidden="1" x14ac:dyDescent="0.2">
      <c r="B2411" t="s">
        <v>8221</v>
      </c>
      <c r="C2411">
        <v>6</v>
      </c>
    </row>
    <row r="2412" spans="2:3" hidden="1" x14ac:dyDescent="0.2">
      <c r="B2412" t="s">
        <v>8221</v>
      </c>
      <c r="C2412">
        <v>0</v>
      </c>
    </row>
    <row r="2413" spans="2:3" hidden="1" x14ac:dyDescent="0.2">
      <c r="B2413" t="s">
        <v>8221</v>
      </c>
      <c r="C2413">
        <v>3</v>
      </c>
    </row>
    <row r="2414" spans="2:3" hidden="1" x14ac:dyDescent="0.2">
      <c r="B2414" t="s">
        <v>8221</v>
      </c>
      <c r="C2414">
        <v>0</v>
      </c>
    </row>
    <row r="2415" spans="2:3" hidden="1" x14ac:dyDescent="0.2">
      <c r="B2415" t="s">
        <v>8221</v>
      </c>
      <c r="C2415">
        <v>3</v>
      </c>
    </row>
    <row r="2416" spans="2:3" hidden="1" x14ac:dyDescent="0.2">
      <c r="B2416" t="s">
        <v>8221</v>
      </c>
      <c r="C2416">
        <v>13</v>
      </c>
    </row>
    <row r="2417" spans="2:3" hidden="1" x14ac:dyDescent="0.2">
      <c r="B2417" t="s">
        <v>8221</v>
      </c>
      <c r="C2417">
        <v>6</v>
      </c>
    </row>
    <row r="2418" spans="2:3" hidden="1" x14ac:dyDescent="0.2">
      <c r="B2418" t="s">
        <v>8221</v>
      </c>
      <c r="C2418">
        <v>1</v>
      </c>
    </row>
    <row r="2419" spans="2:3" hidden="1" x14ac:dyDescent="0.2">
      <c r="B2419" t="s">
        <v>8221</v>
      </c>
      <c r="C2419">
        <v>0</v>
      </c>
    </row>
    <row r="2420" spans="2:3" hidden="1" x14ac:dyDescent="0.2">
      <c r="B2420" t="s">
        <v>8221</v>
      </c>
      <c r="C2420">
        <v>5</v>
      </c>
    </row>
    <row r="2421" spans="2:3" hidden="1" x14ac:dyDescent="0.2">
      <c r="B2421" t="s">
        <v>8221</v>
      </c>
      <c r="C2421">
        <v>0</v>
      </c>
    </row>
    <row r="2422" spans="2:3" hidden="1" x14ac:dyDescent="0.2">
      <c r="B2422" t="s">
        <v>8221</v>
      </c>
      <c r="C2422">
        <v>36</v>
      </c>
    </row>
    <row r="2423" spans="2:3" hidden="1" x14ac:dyDescent="0.2">
      <c r="B2423" t="s">
        <v>8221</v>
      </c>
      <c r="C2423">
        <v>1</v>
      </c>
    </row>
    <row r="2424" spans="2:3" hidden="1" x14ac:dyDescent="0.2">
      <c r="B2424" t="s">
        <v>8221</v>
      </c>
      <c r="C2424">
        <v>1</v>
      </c>
    </row>
    <row r="2425" spans="2:3" hidden="1" x14ac:dyDescent="0.2">
      <c r="B2425" t="s">
        <v>8221</v>
      </c>
      <c r="C2425">
        <v>1</v>
      </c>
    </row>
    <row r="2426" spans="2:3" hidden="1" x14ac:dyDescent="0.2">
      <c r="B2426" t="s">
        <v>8221</v>
      </c>
      <c r="C2426">
        <v>9</v>
      </c>
    </row>
    <row r="2427" spans="2:3" hidden="1" x14ac:dyDescent="0.2">
      <c r="B2427" t="s">
        <v>8221</v>
      </c>
      <c r="C2427">
        <v>1</v>
      </c>
    </row>
    <row r="2428" spans="2:3" hidden="1" x14ac:dyDescent="0.2">
      <c r="B2428" t="s">
        <v>8221</v>
      </c>
      <c r="C2428">
        <v>0</v>
      </c>
    </row>
    <row r="2429" spans="2:3" hidden="1" x14ac:dyDescent="0.2">
      <c r="B2429" t="s">
        <v>8221</v>
      </c>
      <c r="C2429">
        <v>1</v>
      </c>
    </row>
    <row r="2430" spans="2:3" hidden="1" x14ac:dyDescent="0.2">
      <c r="B2430" t="s">
        <v>8221</v>
      </c>
      <c r="C2430">
        <v>1</v>
      </c>
    </row>
    <row r="2431" spans="2:3" hidden="1" x14ac:dyDescent="0.2">
      <c r="B2431" t="s">
        <v>8221</v>
      </c>
      <c r="C2431">
        <v>4</v>
      </c>
    </row>
    <row r="2432" spans="2:3" hidden="1" x14ac:dyDescent="0.2">
      <c r="B2432" t="s">
        <v>8221</v>
      </c>
      <c r="C2432">
        <v>2</v>
      </c>
    </row>
    <row r="2433" spans="2:3" hidden="1" x14ac:dyDescent="0.2">
      <c r="B2433" t="s">
        <v>8221</v>
      </c>
      <c r="C2433">
        <v>2</v>
      </c>
    </row>
    <row r="2434" spans="2:3" hidden="1" x14ac:dyDescent="0.2">
      <c r="B2434" t="s">
        <v>8221</v>
      </c>
      <c r="C2434">
        <v>2</v>
      </c>
    </row>
    <row r="2435" spans="2:3" hidden="1" x14ac:dyDescent="0.2">
      <c r="B2435" t="s">
        <v>8221</v>
      </c>
      <c r="C2435">
        <v>0</v>
      </c>
    </row>
    <row r="2436" spans="2:3" hidden="1" x14ac:dyDescent="0.2">
      <c r="B2436" t="s">
        <v>8221</v>
      </c>
      <c r="C2436">
        <v>2</v>
      </c>
    </row>
    <row r="2437" spans="2:3" hidden="1" x14ac:dyDescent="0.2">
      <c r="B2437" t="s">
        <v>8221</v>
      </c>
      <c r="C2437">
        <v>4</v>
      </c>
    </row>
    <row r="2438" spans="2:3" hidden="1" x14ac:dyDescent="0.2">
      <c r="B2438" t="s">
        <v>8221</v>
      </c>
      <c r="C2438">
        <v>2</v>
      </c>
    </row>
    <row r="2439" spans="2:3" hidden="1" x14ac:dyDescent="0.2">
      <c r="B2439" t="s">
        <v>8221</v>
      </c>
      <c r="C2439">
        <v>0</v>
      </c>
    </row>
    <row r="2440" spans="2:3" hidden="1" x14ac:dyDescent="0.2">
      <c r="B2440" t="s">
        <v>8221</v>
      </c>
      <c r="C2440">
        <v>1</v>
      </c>
    </row>
    <row r="2441" spans="2:3" hidden="1" x14ac:dyDescent="0.2">
      <c r="B2441" t="s">
        <v>8221</v>
      </c>
      <c r="C2441">
        <v>0</v>
      </c>
    </row>
    <row r="2442" spans="2:3" hidden="1" x14ac:dyDescent="0.2">
      <c r="B2442" t="s">
        <v>8221</v>
      </c>
      <c r="C2442">
        <v>2</v>
      </c>
    </row>
    <row r="2443" spans="2:3" x14ac:dyDescent="0.2">
      <c r="B2443" t="s">
        <v>8219</v>
      </c>
      <c r="C2443">
        <v>52</v>
      </c>
    </row>
    <row r="2444" spans="2:3" x14ac:dyDescent="0.2">
      <c r="B2444" t="s">
        <v>8219</v>
      </c>
      <c r="C2444">
        <v>52</v>
      </c>
    </row>
    <row r="2445" spans="2:3" x14ac:dyDescent="0.2">
      <c r="B2445" t="s">
        <v>8219</v>
      </c>
      <c r="C2445">
        <v>52</v>
      </c>
    </row>
    <row r="2446" spans="2:3" x14ac:dyDescent="0.2">
      <c r="B2446" t="s">
        <v>8219</v>
      </c>
      <c r="C2446">
        <v>52</v>
      </c>
    </row>
    <row r="2447" spans="2:3" x14ac:dyDescent="0.2">
      <c r="B2447" t="s">
        <v>8219</v>
      </c>
      <c r="C2447">
        <v>52</v>
      </c>
    </row>
    <row r="2448" spans="2:3" x14ac:dyDescent="0.2">
      <c r="B2448" t="s">
        <v>8219</v>
      </c>
      <c r="C2448">
        <v>52</v>
      </c>
    </row>
    <row r="2449" spans="2:3" x14ac:dyDescent="0.2">
      <c r="B2449" t="s">
        <v>8219</v>
      </c>
      <c r="C2449">
        <v>52</v>
      </c>
    </row>
    <row r="2450" spans="2:3" x14ac:dyDescent="0.2">
      <c r="B2450" t="s">
        <v>8219</v>
      </c>
      <c r="C2450">
        <v>52</v>
      </c>
    </row>
    <row r="2451" spans="2:3" x14ac:dyDescent="0.2">
      <c r="B2451" t="s">
        <v>8219</v>
      </c>
      <c r="C2451">
        <v>52</v>
      </c>
    </row>
    <row r="2452" spans="2:3" x14ac:dyDescent="0.2">
      <c r="B2452" t="s">
        <v>8219</v>
      </c>
      <c r="C2452">
        <v>52</v>
      </c>
    </row>
    <row r="2453" spans="2:3" x14ac:dyDescent="0.2">
      <c r="B2453" t="s">
        <v>8219</v>
      </c>
      <c r="C2453">
        <v>52</v>
      </c>
    </row>
    <row r="2454" spans="2:3" x14ac:dyDescent="0.2">
      <c r="B2454" t="s">
        <v>8219</v>
      </c>
      <c r="C2454">
        <v>52</v>
      </c>
    </row>
    <row r="2455" spans="2:3" x14ac:dyDescent="0.2">
      <c r="B2455" t="s">
        <v>8219</v>
      </c>
      <c r="C2455">
        <v>52</v>
      </c>
    </row>
    <row r="2456" spans="2:3" x14ac:dyDescent="0.2">
      <c r="B2456" t="s">
        <v>8219</v>
      </c>
      <c r="C2456">
        <v>52</v>
      </c>
    </row>
    <row r="2457" spans="2:3" x14ac:dyDescent="0.2">
      <c r="B2457" t="s">
        <v>8219</v>
      </c>
      <c r="C2457">
        <v>52</v>
      </c>
    </row>
    <row r="2458" spans="2:3" x14ac:dyDescent="0.2">
      <c r="B2458" t="s">
        <v>8219</v>
      </c>
      <c r="C2458">
        <v>51</v>
      </c>
    </row>
    <row r="2459" spans="2:3" x14ac:dyDescent="0.2">
      <c r="B2459" t="s">
        <v>8219</v>
      </c>
      <c r="C2459">
        <v>51</v>
      </c>
    </row>
    <row r="2460" spans="2:3" x14ac:dyDescent="0.2">
      <c r="B2460" t="s">
        <v>8219</v>
      </c>
      <c r="C2460">
        <v>51</v>
      </c>
    </row>
    <row r="2461" spans="2:3" x14ac:dyDescent="0.2">
      <c r="B2461" t="s">
        <v>8219</v>
      </c>
      <c r="C2461">
        <v>51</v>
      </c>
    </row>
    <row r="2462" spans="2:3" x14ac:dyDescent="0.2">
      <c r="B2462" t="s">
        <v>8219</v>
      </c>
      <c r="C2462">
        <v>51</v>
      </c>
    </row>
    <row r="2463" spans="2:3" x14ac:dyDescent="0.2">
      <c r="B2463" t="s">
        <v>8219</v>
      </c>
      <c r="C2463">
        <v>51</v>
      </c>
    </row>
    <row r="2464" spans="2:3" x14ac:dyDescent="0.2">
      <c r="B2464" t="s">
        <v>8219</v>
      </c>
      <c r="C2464">
        <v>51</v>
      </c>
    </row>
    <row r="2465" spans="2:3" x14ac:dyDescent="0.2">
      <c r="B2465" t="s">
        <v>8219</v>
      </c>
      <c r="C2465">
        <v>51</v>
      </c>
    </row>
    <row r="2466" spans="2:3" x14ac:dyDescent="0.2">
      <c r="B2466" t="s">
        <v>8219</v>
      </c>
      <c r="C2466">
        <v>51</v>
      </c>
    </row>
    <row r="2467" spans="2:3" x14ac:dyDescent="0.2">
      <c r="B2467" t="s">
        <v>8219</v>
      </c>
      <c r="C2467">
        <v>51</v>
      </c>
    </row>
    <row r="2468" spans="2:3" x14ac:dyDescent="0.2">
      <c r="B2468" t="s">
        <v>8219</v>
      </c>
      <c r="C2468">
        <v>50</v>
      </c>
    </row>
    <row r="2469" spans="2:3" x14ac:dyDescent="0.2">
      <c r="B2469" t="s">
        <v>8219</v>
      </c>
      <c r="C2469">
        <v>50</v>
      </c>
    </row>
    <row r="2470" spans="2:3" x14ac:dyDescent="0.2">
      <c r="B2470" t="s">
        <v>8219</v>
      </c>
      <c r="C2470">
        <v>50</v>
      </c>
    </row>
    <row r="2471" spans="2:3" x14ac:dyDescent="0.2">
      <c r="B2471" t="s">
        <v>8219</v>
      </c>
      <c r="C2471">
        <v>50</v>
      </c>
    </row>
    <row r="2472" spans="2:3" x14ac:dyDescent="0.2">
      <c r="B2472" t="s">
        <v>8219</v>
      </c>
      <c r="C2472">
        <v>50</v>
      </c>
    </row>
    <row r="2473" spans="2:3" x14ac:dyDescent="0.2">
      <c r="B2473" t="s">
        <v>8219</v>
      </c>
      <c r="C2473">
        <v>50</v>
      </c>
    </row>
    <row r="2474" spans="2:3" x14ac:dyDescent="0.2">
      <c r="B2474" t="s">
        <v>8219</v>
      </c>
      <c r="C2474">
        <v>50</v>
      </c>
    </row>
    <row r="2475" spans="2:3" x14ac:dyDescent="0.2">
      <c r="B2475" t="s">
        <v>8219</v>
      </c>
      <c r="C2475">
        <v>50</v>
      </c>
    </row>
    <row r="2476" spans="2:3" x14ac:dyDescent="0.2">
      <c r="B2476" t="s">
        <v>8219</v>
      </c>
      <c r="C2476">
        <v>50</v>
      </c>
    </row>
    <row r="2477" spans="2:3" x14ac:dyDescent="0.2">
      <c r="B2477" t="s">
        <v>8219</v>
      </c>
      <c r="C2477">
        <v>50</v>
      </c>
    </row>
    <row r="2478" spans="2:3" x14ac:dyDescent="0.2">
      <c r="B2478" t="s">
        <v>8219</v>
      </c>
      <c r="C2478">
        <v>50</v>
      </c>
    </row>
    <row r="2479" spans="2:3" x14ac:dyDescent="0.2">
      <c r="B2479" t="s">
        <v>8219</v>
      </c>
      <c r="C2479">
        <v>50</v>
      </c>
    </row>
    <row r="2480" spans="2:3" x14ac:dyDescent="0.2">
      <c r="B2480" t="s">
        <v>8219</v>
      </c>
      <c r="C2480">
        <v>50</v>
      </c>
    </row>
    <row r="2481" spans="2:3" x14ac:dyDescent="0.2">
      <c r="B2481" t="s">
        <v>8219</v>
      </c>
      <c r="C2481">
        <v>50</v>
      </c>
    </row>
    <row r="2482" spans="2:3" x14ac:dyDescent="0.2">
      <c r="B2482" t="s">
        <v>8219</v>
      </c>
      <c r="C2482">
        <v>50</v>
      </c>
    </row>
    <row r="2483" spans="2:3" x14ac:dyDescent="0.2">
      <c r="B2483" t="s">
        <v>8219</v>
      </c>
      <c r="C2483">
        <v>50</v>
      </c>
    </row>
    <row r="2484" spans="2:3" x14ac:dyDescent="0.2">
      <c r="B2484" t="s">
        <v>8219</v>
      </c>
      <c r="C2484">
        <v>50</v>
      </c>
    </row>
    <row r="2485" spans="2:3" x14ac:dyDescent="0.2">
      <c r="B2485" t="s">
        <v>8219</v>
      </c>
      <c r="C2485">
        <v>50</v>
      </c>
    </row>
    <row r="2486" spans="2:3" x14ac:dyDescent="0.2">
      <c r="B2486" t="s">
        <v>8219</v>
      </c>
      <c r="C2486">
        <v>50</v>
      </c>
    </row>
    <row r="2487" spans="2:3" x14ac:dyDescent="0.2">
      <c r="B2487" t="s">
        <v>8219</v>
      </c>
      <c r="C2487">
        <v>49</v>
      </c>
    </row>
    <row r="2488" spans="2:3" x14ac:dyDescent="0.2">
      <c r="B2488" t="s">
        <v>8219</v>
      </c>
      <c r="C2488">
        <v>49</v>
      </c>
    </row>
    <row r="2489" spans="2:3" x14ac:dyDescent="0.2">
      <c r="B2489" t="s">
        <v>8219</v>
      </c>
      <c r="C2489">
        <v>49</v>
      </c>
    </row>
    <row r="2490" spans="2:3" x14ac:dyDescent="0.2">
      <c r="B2490" t="s">
        <v>8219</v>
      </c>
      <c r="C2490">
        <v>49</v>
      </c>
    </row>
    <row r="2491" spans="2:3" x14ac:dyDescent="0.2">
      <c r="B2491" t="s">
        <v>8219</v>
      </c>
      <c r="C2491">
        <v>49</v>
      </c>
    </row>
    <row r="2492" spans="2:3" x14ac:dyDescent="0.2">
      <c r="B2492" t="s">
        <v>8219</v>
      </c>
      <c r="C2492">
        <v>49</v>
      </c>
    </row>
    <row r="2493" spans="2:3" x14ac:dyDescent="0.2">
      <c r="B2493" t="s">
        <v>8219</v>
      </c>
      <c r="C2493">
        <v>49</v>
      </c>
    </row>
    <row r="2494" spans="2:3" x14ac:dyDescent="0.2">
      <c r="B2494" t="s">
        <v>8219</v>
      </c>
      <c r="C2494">
        <v>49</v>
      </c>
    </row>
    <row r="2495" spans="2:3" x14ac:dyDescent="0.2">
      <c r="B2495" t="s">
        <v>8219</v>
      </c>
      <c r="C2495">
        <v>49</v>
      </c>
    </row>
    <row r="2496" spans="2:3" x14ac:dyDescent="0.2">
      <c r="B2496" t="s">
        <v>8219</v>
      </c>
      <c r="C2496">
        <v>49</v>
      </c>
    </row>
    <row r="2497" spans="2:3" x14ac:dyDescent="0.2">
      <c r="B2497" t="s">
        <v>8219</v>
      </c>
      <c r="C2497">
        <v>49</v>
      </c>
    </row>
    <row r="2498" spans="2:3" x14ac:dyDescent="0.2">
      <c r="B2498" t="s">
        <v>8219</v>
      </c>
      <c r="C2498">
        <v>49</v>
      </c>
    </row>
    <row r="2499" spans="2:3" x14ac:dyDescent="0.2">
      <c r="B2499" t="s">
        <v>8219</v>
      </c>
      <c r="C2499">
        <v>49</v>
      </c>
    </row>
    <row r="2500" spans="2:3" x14ac:dyDescent="0.2">
      <c r="B2500" t="s">
        <v>8219</v>
      </c>
      <c r="C2500">
        <v>49</v>
      </c>
    </row>
    <row r="2501" spans="2:3" x14ac:dyDescent="0.2">
      <c r="B2501" t="s">
        <v>8219</v>
      </c>
      <c r="C2501">
        <v>49</v>
      </c>
    </row>
    <row r="2502" spans="2:3" x14ac:dyDescent="0.2">
      <c r="B2502" t="s">
        <v>8219</v>
      </c>
      <c r="C2502">
        <v>49</v>
      </c>
    </row>
    <row r="2503" spans="2:3" hidden="1" x14ac:dyDescent="0.2">
      <c r="B2503" t="s">
        <v>8221</v>
      </c>
      <c r="C2503">
        <v>7</v>
      </c>
    </row>
    <row r="2504" spans="2:3" hidden="1" x14ac:dyDescent="0.2">
      <c r="B2504" t="s">
        <v>8221</v>
      </c>
      <c r="C2504">
        <v>5</v>
      </c>
    </row>
    <row r="2505" spans="2:3" hidden="1" x14ac:dyDescent="0.2">
      <c r="B2505" t="s">
        <v>8221</v>
      </c>
      <c r="C2505">
        <v>0</v>
      </c>
    </row>
    <row r="2506" spans="2:3" hidden="1" x14ac:dyDescent="0.2">
      <c r="B2506" t="s">
        <v>8221</v>
      </c>
      <c r="C2506">
        <v>0</v>
      </c>
    </row>
    <row r="2507" spans="2:3" hidden="1" x14ac:dyDescent="0.2">
      <c r="B2507" t="s">
        <v>8221</v>
      </c>
      <c r="C2507">
        <v>0</v>
      </c>
    </row>
    <row r="2508" spans="2:3" hidden="1" x14ac:dyDescent="0.2">
      <c r="B2508" t="s">
        <v>8221</v>
      </c>
      <c r="C2508">
        <v>2</v>
      </c>
    </row>
    <row r="2509" spans="2:3" hidden="1" x14ac:dyDescent="0.2">
      <c r="B2509" t="s">
        <v>8221</v>
      </c>
      <c r="C2509">
        <v>0</v>
      </c>
    </row>
    <row r="2510" spans="2:3" hidden="1" x14ac:dyDescent="0.2">
      <c r="B2510" t="s">
        <v>8221</v>
      </c>
      <c r="C2510">
        <v>0</v>
      </c>
    </row>
    <row r="2511" spans="2:3" hidden="1" x14ac:dyDescent="0.2">
      <c r="B2511" t="s">
        <v>8221</v>
      </c>
      <c r="C2511">
        <v>28</v>
      </c>
    </row>
    <row r="2512" spans="2:3" hidden="1" x14ac:dyDescent="0.2">
      <c r="B2512" t="s">
        <v>8221</v>
      </c>
      <c r="C2512">
        <v>2</v>
      </c>
    </row>
    <row r="2513" spans="2:3" hidden="1" x14ac:dyDescent="0.2">
      <c r="B2513" t="s">
        <v>8221</v>
      </c>
      <c r="C2513">
        <v>0</v>
      </c>
    </row>
    <row r="2514" spans="2:3" hidden="1" x14ac:dyDescent="0.2">
      <c r="B2514" t="s">
        <v>8221</v>
      </c>
      <c r="C2514">
        <v>0</v>
      </c>
    </row>
    <row r="2515" spans="2:3" hidden="1" x14ac:dyDescent="0.2">
      <c r="B2515" t="s">
        <v>8221</v>
      </c>
      <c r="C2515">
        <v>0</v>
      </c>
    </row>
    <row r="2516" spans="2:3" hidden="1" x14ac:dyDescent="0.2">
      <c r="B2516" t="s">
        <v>8221</v>
      </c>
      <c r="C2516">
        <v>4</v>
      </c>
    </row>
    <row r="2517" spans="2:3" hidden="1" x14ac:dyDescent="0.2">
      <c r="B2517" t="s">
        <v>8221</v>
      </c>
      <c r="C2517">
        <v>12</v>
      </c>
    </row>
    <row r="2518" spans="2:3" hidden="1" x14ac:dyDescent="0.2">
      <c r="B2518" t="s">
        <v>8221</v>
      </c>
      <c r="C2518">
        <v>0</v>
      </c>
    </row>
    <row r="2519" spans="2:3" hidden="1" x14ac:dyDescent="0.2">
      <c r="B2519" t="s">
        <v>8221</v>
      </c>
      <c r="C2519">
        <v>33</v>
      </c>
    </row>
    <row r="2520" spans="2:3" hidden="1" x14ac:dyDescent="0.2">
      <c r="B2520" t="s">
        <v>8221</v>
      </c>
      <c r="C2520">
        <v>0</v>
      </c>
    </row>
    <row r="2521" spans="2:3" hidden="1" x14ac:dyDescent="0.2">
      <c r="B2521" t="s">
        <v>8221</v>
      </c>
      <c r="C2521">
        <v>4</v>
      </c>
    </row>
    <row r="2522" spans="2:3" hidden="1" x14ac:dyDescent="0.2">
      <c r="B2522" t="s">
        <v>8221</v>
      </c>
      <c r="C2522">
        <v>0</v>
      </c>
    </row>
    <row r="2523" spans="2:3" x14ac:dyDescent="0.2">
      <c r="B2523" t="s">
        <v>8219</v>
      </c>
      <c r="C2523">
        <v>49</v>
      </c>
    </row>
    <row r="2524" spans="2:3" x14ac:dyDescent="0.2">
      <c r="B2524" t="s">
        <v>8219</v>
      </c>
      <c r="C2524">
        <v>48</v>
      </c>
    </row>
    <row r="2525" spans="2:3" x14ac:dyDescent="0.2">
      <c r="B2525" t="s">
        <v>8219</v>
      </c>
      <c r="C2525">
        <v>48</v>
      </c>
    </row>
    <row r="2526" spans="2:3" x14ac:dyDescent="0.2">
      <c r="B2526" t="s">
        <v>8219</v>
      </c>
      <c r="C2526">
        <v>48</v>
      </c>
    </row>
    <row r="2527" spans="2:3" x14ac:dyDescent="0.2">
      <c r="B2527" t="s">
        <v>8219</v>
      </c>
      <c r="C2527">
        <v>48</v>
      </c>
    </row>
    <row r="2528" spans="2:3" x14ac:dyDescent="0.2">
      <c r="B2528" t="s">
        <v>8219</v>
      </c>
      <c r="C2528">
        <v>48</v>
      </c>
    </row>
    <row r="2529" spans="2:3" x14ac:dyDescent="0.2">
      <c r="B2529" t="s">
        <v>8219</v>
      </c>
      <c r="C2529">
        <v>48</v>
      </c>
    </row>
    <row r="2530" spans="2:3" x14ac:dyDescent="0.2">
      <c r="B2530" t="s">
        <v>8219</v>
      </c>
      <c r="C2530">
        <v>48</v>
      </c>
    </row>
    <row r="2531" spans="2:3" x14ac:dyDescent="0.2">
      <c r="B2531" t="s">
        <v>8219</v>
      </c>
      <c r="C2531">
        <v>48</v>
      </c>
    </row>
    <row r="2532" spans="2:3" x14ac:dyDescent="0.2">
      <c r="B2532" t="s">
        <v>8219</v>
      </c>
      <c r="C2532">
        <v>48</v>
      </c>
    </row>
    <row r="2533" spans="2:3" x14ac:dyDescent="0.2">
      <c r="B2533" t="s">
        <v>8219</v>
      </c>
      <c r="C2533">
        <v>48</v>
      </c>
    </row>
    <row r="2534" spans="2:3" x14ac:dyDescent="0.2">
      <c r="B2534" t="s">
        <v>8219</v>
      </c>
      <c r="C2534">
        <v>48</v>
      </c>
    </row>
    <row r="2535" spans="2:3" x14ac:dyDescent="0.2">
      <c r="B2535" t="s">
        <v>8219</v>
      </c>
      <c r="C2535">
        <v>48</v>
      </c>
    </row>
    <row r="2536" spans="2:3" x14ac:dyDescent="0.2">
      <c r="B2536" t="s">
        <v>8219</v>
      </c>
      <c r="C2536">
        <v>48</v>
      </c>
    </row>
    <row r="2537" spans="2:3" x14ac:dyDescent="0.2">
      <c r="B2537" t="s">
        <v>8219</v>
      </c>
      <c r="C2537">
        <v>48</v>
      </c>
    </row>
    <row r="2538" spans="2:3" x14ac:dyDescent="0.2">
      <c r="B2538" t="s">
        <v>8219</v>
      </c>
      <c r="C2538">
        <v>47</v>
      </c>
    </row>
    <row r="2539" spans="2:3" x14ac:dyDescent="0.2">
      <c r="B2539" t="s">
        <v>8219</v>
      </c>
      <c r="C2539">
        <v>47</v>
      </c>
    </row>
    <row r="2540" spans="2:3" x14ac:dyDescent="0.2">
      <c r="B2540" t="s">
        <v>8219</v>
      </c>
      <c r="C2540">
        <v>47</v>
      </c>
    </row>
    <row r="2541" spans="2:3" x14ac:dyDescent="0.2">
      <c r="B2541" t="s">
        <v>8219</v>
      </c>
      <c r="C2541">
        <v>47</v>
      </c>
    </row>
    <row r="2542" spans="2:3" x14ac:dyDescent="0.2">
      <c r="B2542" t="s">
        <v>8219</v>
      </c>
      <c r="C2542">
        <v>47</v>
      </c>
    </row>
    <row r="2543" spans="2:3" x14ac:dyDescent="0.2">
      <c r="B2543" t="s">
        <v>8219</v>
      </c>
      <c r="C2543">
        <v>47</v>
      </c>
    </row>
    <row r="2544" spans="2:3" x14ac:dyDescent="0.2">
      <c r="B2544" t="s">
        <v>8219</v>
      </c>
      <c r="C2544">
        <v>47</v>
      </c>
    </row>
    <row r="2545" spans="2:3" x14ac:dyDescent="0.2">
      <c r="B2545" t="s">
        <v>8219</v>
      </c>
      <c r="C2545">
        <v>47</v>
      </c>
    </row>
    <row r="2546" spans="2:3" x14ac:dyDescent="0.2">
      <c r="B2546" t="s">
        <v>8219</v>
      </c>
      <c r="C2546">
        <v>47</v>
      </c>
    </row>
    <row r="2547" spans="2:3" x14ac:dyDescent="0.2">
      <c r="B2547" t="s">
        <v>8219</v>
      </c>
      <c r="C2547">
        <v>47</v>
      </c>
    </row>
    <row r="2548" spans="2:3" x14ac:dyDescent="0.2">
      <c r="B2548" t="s">
        <v>8219</v>
      </c>
      <c r="C2548">
        <v>47</v>
      </c>
    </row>
    <row r="2549" spans="2:3" x14ac:dyDescent="0.2">
      <c r="B2549" t="s">
        <v>8219</v>
      </c>
      <c r="C2549">
        <v>47</v>
      </c>
    </row>
    <row r="2550" spans="2:3" x14ac:dyDescent="0.2">
      <c r="B2550" t="s">
        <v>8219</v>
      </c>
      <c r="C2550">
        <v>47</v>
      </c>
    </row>
    <row r="2551" spans="2:3" x14ac:dyDescent="0.2">
      <c r="B2551" t="s">
        <v>8219</v>
      </c>
      <c r="C2551">
        <v>47</v>
      </c>
    </row>
    <row r="2552" spans="2:3" x14ac:dyDescent="0.2">
      <c r="B2552" t="s">
        <v>8219</v>
      </c>
      <c r="C2552">
        <v>47</v>
      </c>
    </row>
    <row r="2553" spans="2:3" x14ac:dyDescent="0.2">
      <c r="B2553" t="s">
        <v>8219</v>
      </c>
      <c r="C2553">
        <v>47</v>
      </c>
    </row>
    <row r="2554" spans="2:3" x14ac:dyDescent="0.2">
      <c r="B2554" t="s">
        <v>8219</v>
      </c>
      <c r="C2554">
        <v>47</v>
      </c>
    </row>
    <row r="2555" spans="2:3" x14ac:dyDescent="0.2">
      <c r="B2555" t="s">
        <v>8219</v>
      </c>
      <c r="C2555">
        <v>47</v>
      </c>
    </row>
    <row r="2556" spans="2:3" x14ac:dyDescent="0.2">
      <c r="B2556" t="s">
        <v>8219</v>
      </c>
      <c r="C2556">
        <v>47</v>
      </c>
    </row>
    <row r="2557" spans="2:3" x14ac:dyDescent="0.2">
      <c r="B2557" t="s">
        <v>8219</v>
      </c>
      <c r="C2557">
        <v>47</v>
      </c>
    </row>
    <row r="2558" spans="2:3" x14ac:dyDescent="0.2">
      <c r="B2558" t="s">
        <v>8219</v>
      </c>
      <c r="C2558">
        <v>47</v>
      </c>
    </row>
    <row r="2559" spans="2:3" x14ac:dyDescent="0.2">
      <c r="B2559" t="s">
        <v>8219</v>
      </c>
      <c r="C2559">
        <v>46</v>
      </c>
    </row>
    <row r="2560" spans="2:3" x14ac:dyDescent="0.2">
      <c r="B2560" t="s">
        <v>8219</v>
      </c>
      <c r="C2560">
        <v>46</v>
      </c>
    </row>
    <row r="2561" spans="2:3" x14ac:dyDescent="0.2">
      <c r="B2561" t="s">
        <v>8219</v>
      </c>
      <c r="C2561">
        <v>46</v>
      </c>
    </row>
    <row r="2562" spans="2:3" x14ac:dyDescent="0.2">
      <c r="B2562" t="s">
        <v>8219</v>
      </c>
      <c r="C2562">
        <v>46</v>
      </c>
    </row>
    <row r="2563" spans="2:3" hidden="1" x14ac:dyDescent="0.2">
      <c r="B2563" t="s">
        <v>8220</v>
      </c>
      <c r="C2563">
        <v>0</v>
      </c>
    </row>
    <row r="2564" spans="2:3" hidden="1" x14ac:dyDescent="0.2">
      <c r="B2564" t="s">
        <v>8220</v>
      </c>
      <c r="C2564">
        <v>3</v>
      </c>
    </row>
    <row r="2565" spans="2:3" hidden="1" x14ac:dyDescent="0.2">
      <c r="B2565" t="s">
        <v>8220</v>
      </c>
      <c r="C2565">
        <v>0</v>
      </c>
    </row>
    <row r="2566" spans="2:3" hidden="1" x14ac:dyDescent="0.2">
      <c r="B2566" t="s">
        <v>8220</v>
      </c>
      <c r="C2566">
        <v>0</v>
      </c>
    </row>
    <row r="2567" spans="2:3" hidden="1" x14ac:dyDescent="0.2">
      <c r="B2567" t="s">
        <v>8220</v>
      </c>
      <c r="C2567">
        <v>1</v>
      </c>
    </row>
    <row r="2568" spans="2:3" hidden="1" x14ac:dyDescent="0.2">
      <c r="B2568" t="s">
        <v>8220</v>
      </c>
      <c r="C2568">
        <v>0</v>
      </c>
    </row>
    <row r="2569" spans="2:3" hidden="1" x14ac:dyDescent="0.2">
      <c r="B2569" t="s">
        <v>8220</v>
      </c>
      <c r="C2569">
        <v>2</v>
      </c>
    </row>
    <row r="2570" spans="2:3" hidden="1" x14ac:dyDescent="0.2">
      <c r="B2570" t="s">
        <v>8220</v>
      </c>
      <c r="C2570">
        <v>1</v>
      </c>
    </row>
    <row r="2571" spans="2:3" hidden="1" x14ac:dyDescent="0.2">
      <c r="B2571" t="s">
        <v>8220</v>
      </c>
      <c r="C2571">
        <v>2</v>
      </c>
    </row>
    <row r="2572" spans="2:3" hidden="1" x14ac:dyDescent="0.2">
      <c r="B2572" t="s">
        <v>8220</v>
      </c>
      <c r="C2572">
        <v>2</v>
      </c>
    </row>
    <row r="2573" spans="2:3" hidden="1" x14ac:dyDescent="0.2">
      <c r="B2573" t="s">
        <v>8220</v>
      </c>
      <c r="C2573">
        <v>4</v>
      </c>
    </row>
    <row r="2574" spans="2:3" hidden="1" x14ac:dyDescent="0.2">
      <c r="B2574" t="s">
        <v>8220</v>
      </c>
      <c r="C2574">
        <v>0</v>
      </c>
    </row>
    <row r="2575" spans="2:3" hidden="1" x14ac:dyDescent="0.2">
      <c r="B2575" t="s">
        <v>8220</v>
      </c>
      <c r="C2575">
        <v>0</v>
      </c>
    </row>
    <row r="2576" spans="2:3" hidden="1" x14ac:dyDescent="0.2">
      <c r="B2576" t="s">
        <v>8220</v>
      </c>
      <c r="C2576">
        <v>0</v>
      </c>
    </row>
    <row r="2577" spans="2:3" hidden="1" x14ac:dyDescent="0.2">
      <c r="B2577" t="s">
        <v>8220</v>
      </c>
      <c r="C2577">
        <v>0</v>
      </c>
    </row>
    <row r="2578" spans="2:3" hidden="1" x14ac:dyDescent="0.2">
      <c r="B2578" t="s">
        <v>8220</v>
      </c>
      <c r="C2578">
        <v>0</v>
      </c>
    </row>
    <row r="2579" spans="2:3" hidden="1" x14ac:dyDescent="0.2">
      <c r="B2579" t="s">
        <v>8220</v>
      </c>
      <c r="C2579">
        <v>0</v>
      </c>
    </row>
    <row r="2580" spans="2:3" hidden="1" x14ac:dyDescent="0.2">
      <c r="B2580" t="s">
        <v>8220</v>
      </c>
      <c r="C2580">
        <v>0</v>
      </c>
    </row>
    <row r="2581" spans="2:3" hidden="1" x14ac:dyDescent="0.2">
      <c r="B2581" t="s">
        <v>8220</v>
      </c>
      <c r="C2581">
        <v>12</v>
      </c>
    </row>
    <row r="2582" spans="2:3" hidden="1" x14ac:dyDescent="0.2">
      <c r="B2582" t="s">
        <v>8220</v>
      </c>
      <c r="C2582">
        <v>2</v>
      </c>
    </row>
    <row r="2583" spans="2:3" hidden="1" x14ac:dyDescent="0.2">
      <c r="B2583" t="s">
        <v>8221</v>
      </c>
      <c r="C2583">
        <v>11</v>
      </c>
    </row>
    <row r="2584" spans="2:3" hidden="1" x14ac:dyDescent="0.2">
      <c r="B2584" t="s">
        <v>8221</v>
      </c>
      <c r="C2584">
        <v>1</v>
      </c>
    </row>
    <row r="2585" spans="2:3" hidden="1" x14ac:dyDescent="0.2">
      <c r="B2585" t="s">
        <v>8221</v>
      </c>
      <c r="C2585">
        <v>5</v>
      </c>
    </row>
    <row r="2586" spans="2:3" hidden="1" x14ac:dyDescent="0.2">
      <c r="B2586" t="s">
        <v>8221</v>
      </c>
      <c r="C2586">
        <v>0</v>
      </c>
    </row>
    <row r="2587" spans="2:3" hidden="1" x14ac:dyDescent="0.2">
      <c r="B2587" t="s">
        <v>8221</v>
      </c>
      <c r="C2587">
        <v>1</v>
      </c>
    </row>
    <row r="2588" spans="2:3" hidden="1" x14ac:dyDescent="0.2">
      <c r="B2588" t="s">
        <v>8221</v>
      </c>
      <c r="C2588">
        <v>1</v>
      </c>
    </row>
    <row r="2589" spans="2:3" hidden="1" x14ac:dyDescent="0.2">
      <c r="B2589" t="s">
        <v>8221</v>
      </c>
      <c r="C2589">
        <v>6</v>
      </c>
    </row>
    <row r="2590" spans="2:3" hidden="1" x14ac:dyDescent="0.2">
      <c r="B2590" t="s">
        <v>8221</v>
      </c>
      <c r="C2590">
        <v>8</v>
      </c>
    </row>
    <row r="2591" spans="2:3" hidden="1" x14ac:dyDescent="0.2">
      <c r="B2591" t="s">
        <v>8221</v>
      </c>
      <c r="C2591">
        <v>1</v>
      </c>
    </row>
    <row r="2592" spans="2:3" hidden="1" x14ac:dyDescent="0.2">
      <c r="B2592" t="s">
        <v>8221</v>
      </c>
      <c r="C2592">
        <v>0</v>
      </c>
    </row>
    <row r="2593" spans="2:3" hidden="1" x14ac:dyDescent="0.2">
      <c r="B2593" t="s">
        <v>8221</v>
      </c>
      <c r="C2593">
        <v>2</v>
      </c>
    </row>
    <row r="2594" spans="2:3" hidden="1" x14ac:dyDescent="0.2">
      <c r="B2594" t="s">
        <v>8221</v>
      </c>
      <c r="C2594">
        <v>1</v>
      </c>
    </row>
    <row r="2595" spans="2:3" hidden="1" x14ac:dyDescent="0.2">
      <c r="B2595" t="s">
        <v>8221</v>
      </c>
      <c r="C2595">
        <v>0</v>
      </c>
    </row>
    <row r="2596" spans="2:3" hidden="1" x14ac:dyDescent="0.2">
      <c r="B2596" t="s">
        <v>8221</v>
      </c>
      <c r="C2596">
        <v>1</v>
      </c>
    </row>
    <row r="2597" spans="2:3" hidden="1" x14ac:dyDescent="0.2">
      <c r="B2597" t="s">
        <v>8221</v>
      </c>
      <c r="C2597">
        <v>19</v>
      </c>
    </row>
    <row r="2598" spans="2:3" hidden="1" x14ac:dyDescent="0.2">
      <c r="B2598" t="s">
        <v>8221</v>
      </c>
      <c r="C2598">
        <v>27</v>
      </c>
    </row>
    <row r="2599" spans="2:3" hidden="1" x14ac:dyDescent="0.2">
      <c r="B2599" t="s">
        <v>8221</v>
      </c>
      <c r="C2599">
        <v>7</v>
      </c>
    </row>
    <row r="2600" spans="2:3" hidden="1" x14ac:dyDescent="0.2">
      <c r="B2600" t="s">
        <v>8221</v>
      </c>
      <c r="C2600">
        <v>14</v>
      </c>
    </row>
    <row r="2601" spans="2:3" hidden="1" x14ac:dyDescent="0.2">
      <c r="B2601" t="s">
        <v>8221</v>
      </c>
      <c r="C2601">
        <v>5</v>
      </c>
    </row>
    <row r="2602" spans="2:3" hidden="1" x14ac:dyDescent="0.2">
      <c r="B2602" t="s">
        <v>8221</v>
      </c>
      <c r="C2602">
        <v>30</v>
      </c>
    </row>
    <row r="2603" spans="2:3" x14ac:dyDescent="0.2">
      <c r="B2603" t="s">
        <v>8219</v>
      </c>
      <c r="C2603">
        <v>46</v>
      </c>
    </row>
    <row r="2604" spans="2:3" x14ac:dyDescent="0.2">
      <c r="B2604" t="s">
        <v>8219</v>
      </c>
      <c r="C2604">
        <v>46</v>
      </c>
    </row>
    <row r="2605" spans="2:3" x14ac:dyDescent="0.2">
      <c r="B2605" t="s">
        <v>8219</v>
      </c>
      <c r="C2605">
        <v>46</v>
      </c>
    </row>
    <row r="2606" spans="2:3" x14ac:dyDescent="0.2">
      <c r="B2606" t="s">
        <v>8219</v>
      </c>
      <c r="C2606">
        <v>46</v>
      </c>
    </row>
    <row r="2607" spans="2:3" x14ac:dyDescent="0.2">
      <c r="B2607" t="s">
        <v>8219</v>
      </c>
      <c r="C2607">
        <v>46</v>
      </c>
    </row>
    <row r="2608" spans="2:3" x14ac:dyDescent="0.2">
      <c r="B2608" t="s">
        <v>8219</v>
      </c>
      <c r="C2608">
        <v>46</v>
      </c>
    </row>
    <row r="2609" spans="2:3" x14ac:dyDescent="0.2">
      <c r="B2609" t="s">
        <v>8219</v>
      </c>
      <c r="C2609">
        <v>46</v>
      </c>
    </row>
    <row r="2610" spans="2:3" x14ac:dyDescent="0.2">
      <c r="B2610" t="s">
        <v>8219</v>
      </c>
      <c r="C2610">
        <v>46</v>
      </c>
    </row>
    <row r="2611" spans="2:3" x14ac:dyDescent="0.2">
      <c r="B2611" t="s">
        <v>8219</v>
      </c>
      <c r="C2611">
        <v>46</v>
      </c>
    </row>
    <row r="2612" spans="2:3" x14ac:dyDescent="0.2">
      <c r="B2612" t="s">
        <v>8219</v>
      </c>
      <c r="C2612">
        <v>46</v>
      </c>
    </row>
    <row r="2613" spans="2:3" x14ac:dyDescent="0.2">
      <c r="B2613" t="s">
        <v>8219</v>
      </c>
      <c r="C2613">
        <v>46</v>
      </c>
    </row>
    <row r="2614" spans="2:3" x14ac:dyDescent="0.2">
      <c r="B2614" t="s">
        <v>8219</v>
      </c>
      <c r="C2614">
        <v>46</v>
      </c>
    </row>
    <row r="2615" spans="2:3" x14ac:dyDescent="0.2">
      <c r="B2615" t="s">
        <v>8219</v>
      </c>
      <c r="C2615">
        <v>46</v>
      </c>
    </row>
    <row r="2616" spans="2:3" x14ac:dyDescent="0.2">
      <c r="B2616" t="s">
        <v>8219</v>
      </c>
      <c r="C2616">
        <v>46</v>
      </c>
    </row>
    <row r="2617" spans="2:3" x14ac:dyDescent="0.2">
      <c r="B2617" t="s">
        <v>8219</v>
      </c>
      <c r="C2617">
        <v>46</v>
      </c>
    </row>
    <row r="2618" spans="2:3" x14ac:dyDescent="0.2">
      <c r="B2618" t="s">
        <v>8219</v>
      </c>
      <c r="C2618">
        <v>46</v>
      </c>
    </row>
    <row r="2619" spans="2:3" x14ac:dyDescent="0.2">
      <c r="B2619" t="s">
        <v>8219</v>
      </c>
      <c r="C2619">
        <v>46</v>
      </c>
    </row>
    <row r="2620" spans="2:3" x14ac:dyDescent="0.2">
      <c r="B2620" t="s">
        <v>8219</v>
      </c>
      <c r="C2620">
        <v>45</v>
      </c>
    </row>
    <row r="2621" spans="2:3" x14ac:dyDescent="0.2">
      <c r="B2621" t="s">
        <v>8219</v>
      </c>
      <c r="C2621">
        <v>45</v>
      </c>
    </row>
    <row r="2622" spans="2:3" x14ac:dyDescent="0.2">
      <c r="B2622" t="s">
        <v>8219</v>
      </c>
      <c r="C2622">
        <v>45</v>
      </c>
    </row>
    <row r="2623" spans="2:3" x14ac:dyDescent="0.2">
      <c r="B2623" t="s">
        <v>8219</v>
      </c>
      <c r="C2623">
        <v>45</v>
      </c>
    </row>
    <row r="2624" spans="2:3" x14ac:dyDescent="0.2">
      <c r="B2624" t="s">
        <v>8219</v>
      </c>
      <c r="C2624">
        <v>45</v>
      </c>
    </row>
    <row r="2625" spans="2:3" x14ac:dyDescent="0.2">
      <c r="B2625" t="s">
        <v>8219</v>
      </c>
      <c r="C2625">
        <v>45</v>
      </c>
    </row>
    <row r="2626" spans="2:3" x14ac:dyDescent="0.2">
      <c r="B2626" t="s">
        <v>8219</v>
      </c>
      <c r="C2626">
        <v>45</v>
      </c>
    </row>
    <row r="2627" spans="2:3" x14ac:dyDescent="0.2">
      <c r="B2627" t="s">
        <v>8219</v>
      </c>
      <c r="C2627">
        <v>45</v>
      </c>
    </row>
    <row r="2628" spans="2:3" x14ac:dyDescent="0.2">
      <c r="B2628" t="s">
        <v>8219</v>
      </c>
      <c r="C2628">
        <v>45</v>
      </c>
    </row>
    <row r="2629" spans="2:3" x14ac:dyDescent="0.2">
      <c r="B2629" t="s">
        <v>8219</v>
      </c>
      <c r="C2629">
        <v>45</v>
      </c>
    </row>
    <row r="2630" spans="2:3" x14ac:dyDescent="0.2">
      <c r="B2630" t="s">
        <v>8219</v>
      </c>
      <c r="C2630">
        <v>45</v>
      </c>
    </row>
    <row r="2631" spans="2:3" x14ac:dyDescent="0.2">
      <c r="B2631" t="s">
        <v>8219</v>
      </c>
      <c r="C2631">
        <v>45</v>
      </c>
    </row>
    <row r="2632" spans="2:3" x14ac:dyDescent="0.2">
      <c r="B2632" t="s">
        <v>8219</v>
      </c>
      <c r="C2632">
        <v>45</v>
      </c>
    </row>
    <row r="2633" spans="2:3" x14ac:dyDescent="0.2">
      <c r="B2633" t="s">
        <v>8219</v>
      </c>
      <c r="C2633">
        <v>45</v>
      </c>
    </row>
    <row r="2634" spans="2:3" x14ac:dyDescent="0.2">
      <c r="B2634" t="s">
        <v>8219</v>
      </c>
      <c r="C2634">
        <v>45</v>
      </c>
    </row>
    <row r="2635" spans="2:3" x14ac:dyDescent="0.2">
      <c r="B2635" t="s">
        <v>8219</v>
      </c>
      <c r="C2635">
        <v>44</v>
      </c>
    </row>
    <row r="2636" spans="2:3" x14ac:dyDescent="0.2">
      <c r="B2636" t="s">
        <v>8219</v>
      </c>
      <c r="C2636">
        <v>44</v>
      </c>
    </row>
    <row r="2637" spans="2:3" x14ac:dyDescent="0.2">
      <c r="B2637" t="s">
        <v>8219</v>
      </c>
      <c r="C2637">
        <v>44</v>
      </c>
    </row>
    <row r="2638" spans="2:3" x14ac:dyDescent="0.2">
      <c r="B2638" t="s">
        <v>8219</v>
      </c>
      <c r="C2638">
        <v>44</v>
      </c>
    </row>
    <row r="2639" spans="2:3" x14ac:dyDescent="0.2">
      <c r="B2639" t="s">
        <v>8219</v>
      </c>
      <c r="C2639">
        <v>44</v>
      </c>
    </row>
    <row r="2640" spans="2:3" x14ac:dyDescent="0.2">
      <c r="B2640" t="s">
        <v>8219</v>
      </c>
      <c r="C2640">
        <v>44</v>
      </c>
    </row>
    <row r="2641" spans="2:3" x14ac:dyDescent="0.2">
      <c r="B2641" t="s">
        <v>8219</v>
      </c>
      <c r="C2641">
        <v>44</v>
      </c>
    </row>
    <row r="2642" spans="2:3" x14ac:dyDescent="0.2">
      <c r="B2642" t="s">
        <v>8219</v>
      </c>
      <c r="C2642">
        <v>44</v>
      </c>
    </row>
    <row r="2643" spans="2:3" hidden="1" x14ac:dyDescent="0.2">
      <c r="B2643" t="s">
        <v>8221</v>
      </c>
      <c r="C2643">
        <v>1</v>
      </c>
    </row>
    <row r="2644" spans="2:3" hidden="1" x14ac:dyDescent="0.2">
      <c r="B2644" t="s">
        <v>8221</v>
      </c>
      <c r="C2644">
        <v>0</v>
      </c>
    </row>
    <row r="2645" spans="2:3" hidden="1" x14ac:dyDescent="0.2">
      <c r="B2645" t="s">
        <v>8220</v>
      </c>
      <c r="C2645">
        <v>1501</v>
      </c>
    </row>
    <row r="2646" spans="2:3" hidden="1" x14ac:dyDescent="0.2">
      <c r="B2646" t="s">
        <v>8220</v>
      </c>
      <c r="C2646">
        <v>52</v>
      </c>
    </row>
    <row r="2647" spans="2:3" hidden="1" x14ac:dyDescent="0.2">
      <c r="B2647" t="s">
        <v>8220</v>
      </c>
      <c r="C2647">
        <v>23</v>
      </c>
    </row>
    <row r="2648" spans="2:3" hidden="1" x14ac:dyDescent="0.2">
      <c r="B2648" t="s">
        <v>8220</v>
      </c>
      <c r="C2648">
        <v>535</v>
      </c>
    </row>
    <row r="2649" spans="2:3" hidden="1" x14ac:dyDescent="0.2">
      <c r="B2649" t="s">
        <v>8220</v>
      </c>
      <c r="C2649">
        <v>3</v>
      </c>
    </row>
    <row r="2650" spans="2:3" hidden="1" x14ac:dyDescent="0.2">
      <c r="B2650" t="s">
        <v>8220</v>
      </c>
      <c r="C2650">
        <v>6</v>
      </c>
    </row>
    <row r="2651" spans="2:3" hidden="1" x14ac:dyDescent="0.2">
      <c r="B2651" t="s">
        <v>8220</v>
      </c>
      <c r="C2651">
        <v>3</v>
      </c>
    </row>
    <row r="2652" spans="2:3" hidden="1" x14ac:dyDescent="0.2">
      <c r="B2652" t="s">
        <v>8220</v>
      </c>
      <c r="C2652">
        <v>5</v>
      </c>
    </row>
    <row r="2653" spans="2:3" hidden="1" x14ac:dyDescent="0.2">
      <c r="B2653" t="s">
        <v>8220</v>
      </c>
      <c r="C2653">
        <v>17</v>
      </c>
    </row>
    <row r="2654" spans="2:3" hidden="1" x14ac:dyDescent="0.2">
      <c r="B2654" t="s">
        <v>8220</v>
      </c>
      <c r="C2654">
        <v>11</v>
      </c>
    </row>
    <row r="2655" spans="2:3" hidden="1" x14ac:dyDescent="0.2">
      <c r="B2655" t="s">
        <v>8220</v>
      </c>
      <c r="C2655">
        <v>70</v>
      </c>
    </row>
    <row r="2656" spans="2:3" hidden="1" x14ac:dyDescent="0.2">
      <c r="B2656" t="s">
        <v>8220</v>
      </c>
      <c r="C2656">
        <v>6</v>
      </c>
    </row>
    <row r="2657" spans="2:3" hidden="1" x14ac:dyDescent="0.2">
      <c r="B2657" t="s">
        <v>8220</v>
      </c>
      <c r="C2657">
        <v>43</v>
      </c>
    </row>
    <row r="2658" spans="2:3" hidden="1" x14ac:dyDescent="0.2">
      <c r="B2658" t="s">
        <v>8220</v>
      </c>
      <c r="C2658">
        <v>152</v>
      </c>
    </row>
    <row r="2659" spans="2:3" hidden="1" x14ac:dyDescent="0.2">
      <c r="B2659" t="s">
        <v>8220</v>
      </c>
      <c r="C2659">
        <v>59</v>
      </c>
    </row>
    <row r="2660" spans="2:3" hidden="1" x14ac:dyDescent="0.2">
      <c r="B2660" t="s">
        <v>8220</v>
      </c>
      <c r="C2660">
        <v>4</v>
      </c>
    </row>
    <row r="2661" spans="2:3" hidden="1" x14ac:dyDescent="0.2">
      <c r="B2661" t="s">
        <v>8220</v>
      </c>
      <c r="C2661">
        <v>10</v>
      </c>
    </row>
    <row r="2662" spans="2:3" hidden="1" x14ac:dyDescent="0.2">
      <c r="B2662" t="s">
        <v>8220</v>
      </c>
      <c r="C2662">
        <v>5</v>
      </c>
    </row>
    <row r="2663" spans="2:3" x14ac:dyDescent="0.2">
      <c r="B2663" t="s">
        <v>8219</v>
      </c>
      <c r="C2663">
        <v>44</v>
      </c>
    </row>
    <row r="2664" spans="2:3" x14ac:dyDescent="0.2">
      <c r="B2664" t="s">
        <v>8219</v>
      </c>
      <c r="C2664">
        <v>44</v>
      </c>
    </row>
    <row r="2665" spans="2:3" x14ac:dyDescent="0.2">
      <c r="B2665" t="s">
        <v>8219</v>
      </c>
      <c r="C2665">
        <v>44</v>
      </c>
    </row>
    <row r="2666" spans="2:3" x14ac:dyDescent="0.2">
      <c r="B2666" t="s">
        <v>8219</v>
      </c>
      <c r="C2666">
        <v>44</v>
      </c>
    </row>
    <row r="2667" spans="2:3" x14ac:dyDescent="0.2">
      <c r="B2667" t="s">
        <v>8219</v>
      </c>
      <c r="C2667">
        <v>44</v>
      </c>
    </row>
    <row r="2668" spans="2:3" x14ac:dyDescent="0.2">
      <c r="B2668" t="s">
        <v>8219</v>
      </c>
      <c r="C2668">
        <v>44</v>
      </c>
    </row>
    <row r="2669" spans="2:3" x14ac:dyDescent="0.2">
      <c r="B2669" t="s">
        <v>8219</v>
      </c>
      <c r="C2669">
        <v>44</v>
      </c>
    </row>
    <row r="2670" spans="2:3" x14ac:dyDescent="0.2">
      <c r="B2670" t="s">
        <v>8219</v>
      </c>
      <c r="C2670">
        <v>43</v>
      </c>
    </row>
    <row r="2671" spans="2:3" x14ac:dyDescent="0.2">
      <c r="B2671" t="s">
        <v>8219</v>
      </c>
      <c r="C2671">
        <v>43</v>
      </c>
    </row>
    <row r="2672" spans="2:3" hidden="1" x14ac:dyDescent="0.2">
      <c r="B2672" t="s">
        <v>8221</v>
      </c>
      <c r="C2672">
        <v>60</v>
      </c>
    </row>
    <row r="2673" spans="2:3" hidden="1" x14ac:dyDescent="0.2">
      <c r="B2673" t="s">
        <v>8221</v>
      </c>
      <c r="C2673">
        <v>84</v>
      </c>
    </row>
    <row r="2674" spans="2:3" hidden="1" x14ac:dyDescent="0.2">
      <c r="B2674" t="s">
        <v>8221</v>
      </c>
      <c r="C2674">
        <v>47</v>
      </c>
    </row>
    <row r="2675" spans="2:3" hidden="1" x14ac:dyDescent="0.2">
      <c r="B2675" t="s">
        <v>8221</v>
      </c>
      <c r="C2675">
        <v>66</v>
      </c>
    </row>
    <row r="2676" spans="2:3" hidden="1" x14ac:dyDescent="0.2">
      <c r="B2676" t="s">
        <v>8221</v>
      </c>
      <c r="C2676">
        <v>171</v>
      </c>
    </row>
    <row r="2677" spans="2:3" hidden="1" x14ac:dyDescent="0.2">
      <c r="B2677" t="s">
        <v>8221</v>
      </c>
      <c r="C2677">
        <v>29</v>
      </c>
    </row>
    <row r="2678" spans="2:3" hidden="1" x14ac:dyDescent="0.2">
      <c r="B2678" t="s">
        <v>8221</v>
      </c>
      <c r="C2678">
        <v>9</v>
      </c>
    </row>
    <row r="2679" spans="2:3" hidden="1" x14ac:dyDescent="0.2">
      <c r="B2679" t="s">
        <v>8221</v>
      </c>
      <c r="C2679">
        <v>27</v>
      </c>
    </row>
    <row r="2680" spans="2:3" hidden="1" x14ac:dyDescent="0.2">
      <c r="B2680" t="s">
        <v>8221</v>
      </c>
      <c r="C2680">
        <v>2</v>
      </c>
    </row>
    <row r="2681" spans="2:3" hidden="1" x14ac:dyDescent="0.2">
      <c r="B2681" t="s">
        <v>8221</v>
      </c>
      <c r="C2681">
        <v>3</v>
      </c>
    </row>
    <row r="2682" spans="2:3" hidden="1" x14ac:dyDescent="0.2">
      <c r="B2682" t="s">
        <v>8221</v>
      </c>
      <c r="C2682">
        <v>4</v>
      </c>
    </row>
    <row r="2683" spans="2:3" hidden="1" x14ac:dyDescent="0.2">
      <c r="B2683" t="s">
        <v>8221</v>
      </c>
      <c r="C2683">
        <v>2</v>
      </c>
    </row>
    <row r="2684" spans="2:3" hidden="1" x14ac:dyDescent="0.2">
      <c r="B2684" t="s">
        <v>8221</v>
      </c>
      <c r="C2684">
        <v>20</v>
      </c>
    </row>
    <row r="2685" spans="2:3" hidden="1" x14ac:dyDescent="0.2">
      <c r="B2685" t="s">
        <v>8221</v>
      </c>
      <c r="C2685">
        <v>3</v>
      </c>
    </row>
    <row r="2686" spans="2:3" hidden="1" x14ac:dyDescent="0.2">
      <c r="B2686" t="s">
        <v>8221</v>
      </c>
      <c r="C2686">
        <v>4</v>
      </c>
    </row>
    <row r="2687" spans="2:3" hidden="1" x14ac:dyDescent="0.2">
      <c r="B2687" t="s">
        <v>8221</v>
      </c>
      <c r="C2687">
        <v>1</v>
      </c>
    </row>
    <row r="2688" spans="2:3" hidden="1" x14ac:dyDescent="0.2">
      <c r="B2688" t="s">
        <v>8221</v>
      </c>
      <c r="C2688">
        <v>0</v>
      </c>
    </row>
    <row r="2689" spans="2:3" hidden="1" x14ac:dyDescent="0.2">
      <c r="B2689" t="s">
        <v>8221</v>
      </c>
      <c r="C2689">
        <v>0</v>
      </c>
    </row>
    <row r="2690" spans="2:3" hidden="1" x14ac:dyDescent="0.2">
      <c r="B2690" t="s">
        <v>8221</v>
      </c>
      <c r="C2690">
        <v>14</v>
      </c>
    </row>
    <row r="2691" spans="2:3" hidden="1" x14ac:dyDescent="0.2">
      <c r="B2691" t="s">
        <v>8221</v>
      </c>
      <c r="C2691">
        <v>1</v>
      </c>
    </row>
    <row r="2692" spans="2:3" hidden="1" x14ac:dyDescent="0.2">
      <c r="B2692" t="s">
        <v>8221</v>
      </c>
      <c r="C2692">
        <v>118</v>
      </c>
    </row>
    <row r="2693" spans="2:3" hidden="1" x14ac:dyDescent="0.2">
      <c r="B2693" t="s">
        <v>8221</v>
      </c>
      <c r="C2693">
        <v>2</v>
      </c>
    </row>
    <row r="2694" spans="2:3" hidden="1" x14ac:dyDescent="0.2">
      <c r="B2694" t="s">
        <v>8221</v>
      </c>
      <c r="C2694">
        <v>1</v>
      </c>
    </row>
    <row r="2695" spans="2:3" hidden="1" x14ac:dyDescent="0.2">
      <c r="B2695" t="s">
        <v>8221</v>
      </c>
      <c r="C2695">
        <v>3</v>
      </c>
    </row>
    <row r="2696" spans="2:3" hidden="1" x14ac:dyDescent="0.2">
      <c r="B2696" t="s">
        <v>8221</v>
      </c>
      <c r="C2696">
        <v>1</v>
      </c>
    </row>
    <row r="2697" spans="2:3" hidden="1" x14ac:dyDescent="0.2">
      <c r="B2697" t="s">
        <v>8221</v>
      </c>
      <c r="C2697">
        <v>3</v>
      </c>
    </row>
    <row r="2698" spans="2:3" hidden="1" x14ac:dyDescent="0.2">
      <c r="B2698" t="s">
        <v>8221</v>
      </c>
      <c r="C2698">
        <v>38</v>
      </c>
    </row>
    <row r="2699" spans="2:3" hidden="1" x14ac:dyDescent="0.2">
      <c r="B2699" t="s">
        <v>8221</v>
      </c>
      <c r="C2699">
        <v>52</v>
      </c>
    </row>
    <row r="2700" spans="2:3" hidden="1" x14ac:dyDescent="0.2">
      <c r="B2700" t="s">
        <v>8221</v>
      </c>
      <c r="C2700">
        <v>2</v>
      </c>
    </row>
    <row r="2701" spans="2:3" hidden="1" x14ac:dyDescent="0.2">
      <c r="B2701" t="s">
        <v>8221</v>
      </c>
      <c r="C2701">
        <v>0</v>
      </c>
    </row>
    <row r="2702" spans="2:3" hidden="1" x14ac:dyDescent="0.2">
      <c r="B2702" t="s">
        <v>8221</v>
      </c>
      <c r="C2702">
        <v>4</v>
      </c>
    </row>
    <row r="2703" spans="2:3" hidden="1" x14ac:dyDescent="0.2">
      <c r="B2703" t="s">
        <v>8222</v>
      </c>
      <c r="C2703">
        <v>46</v>
      </c>
    </row>
    <row r="2704" spans="2:3" hidden="1" x14ac:dyDescent="0.2">
      <c r="B2704" t="s">
        <v>8222</v>
      </c>
      <c r="C2704">
        <v>26</v>
      </c>
    </row>
    <row r="2705" spans="2:3" hidden="1" x14ac:dyDescent="0.2">
      <c r="B2705" t="s">
        <v>8222</v>
      </c>
      <c r="C2705">
        <v>45</v>
      </c>
    </row>
    <row r="2706" spans="2:3" hidden="1" x14ac:dyDescent="0.2">
      <c r="B2706" t="s">
        <v>8222</v>
      </c>
      <c r="C2706">
        <v>7</v>
      </c>
    </row>
    <row r="2707" spans="2:3" hidden="1" x14ac:dyDescent="0.2">
      <c r="B2707" t="s">
        <v>8222</v>
      </c>
      <c r="C2707">
        <v>8</v>
      </c>
    </row>
    <row r="2708" spans="2:3" x14ac:dyDescent="0.2">
      <c r="B2708" t="s">
        <v>8219</v>
      </c>
      <c r="C2708">
        <v>43</v>
      </c>
    </row>
    <row r="2709" spans="2:3" x14ac:dyDescent="0.2">
      <c r="B2709" t="s">
        <v>8219</v>
      </c>
      <c r="C2709">
        <v>43</v>
      </c>
    </row>
    <row r="2710" spans="2:3" x14ac:dyDescent="0.2">
      <c r="B2710" t="s">
        <v>8219</v>
      </c>
      <c r="C2710">
        <v>43</v>
      </c>
    </row>
    <row r="2711" spans="2:3" x14ac:dyDescent="0.2">
      <c r="B2711" t="s">
        <v>8219</v>
      </c>
      <c r="C2711">
        <v>43</v>
      </c>
    </row>
    <row r="2712" spans="2:3" x14ac:dyDescent="0.2">
      <c r="B2712" t="s">
        <v>8219</v>
      </c>
      <c r="C2712">
        <v>43</v>
      </c>
    </row>
    <row r="2713" spans="2:3" x14ac:dyDescent="0.2">
      <c r="B2713" t="s">
        <v>8219</v>
      </c>
      <c r="C2713">
        <v>43</v>
      </c>
    </row>
    <row r="2714" spans="2:3" x14ac:dyDescent="0.2">
      <c r="B2714" t="s">
        <v>8219</v>
      </c>
      <c r="C2714">
        <v>43</v>
      </c>
    </row>
    <row r="2715" spans="2:3" x14ac:dyDescent="0.2">
      <c r="B2715" t="s">
        <v>8219</v>
      </c>
      <c r="C2715">
        <v>43</v>
      </c>
    </row>
    <row r="2716" spans="2:3" x14ac:dyDescent="0.2">
      <c r="B2716" t="s">
        <v>8219</v>
      </c>
      <c r="C2716">
        <v>43</v>
      </c>
    </row>
    <row r="2717" spans="2:3" x14ac:dyDescent="0.2">
      <c r="B2717" t="s">
        <v>8219</v>
      </c>
      <c r="C2717">
        <v>43</v>
      </c>
    </row>
    <row r="2718" spans="2:3" x14ac:dyDescent="0.2">
      <c r="B2718" t="s">
        <v>8219</v>
      </c>
      <c r="C2718">
        <v>43</v>
      </c>
    </row>
    <row r="2719" spans="2:3" x14ac:dyDescent="0.2">
      <c r="B2719" t="s">
        <v>8219</v>
      </c>
      <c r="C2719">
        <v>42</v>
      </c>
    </row>
    <row r="2720" spans="2:3" x14ac:dyDescent="0.2">
      <c r="B2720" t="s">
        <v>8219</v>
      </c>
      <c r="C2720">
        <v>42</v>
      </c>
    </row>
    <row r="2721" spans="2:3" x14ac:dyDescent="0.2">
      <c r="B2721" t="s">
        <v>8219</v>
      </c>
      <c r="C2721">
        <v>42</v>
      </c>
    </row>
    <row r="2722" spans="2:3" x14ac:dyDescent="0.2">
      <c r="B2722" t="s">
        <v>8219</v>
      </c>
      <c r="C2722">
        <v>42</v>
      </c>
    </row>
    <row r="2723" spans="2:3" x14ac:dyDescent="0.2">
      <c r="B2723" t="s">
        <v>8219</v>
      </c>
      <c r="C2723">
        <v>42</v>
      </c>
    </row>
    <row r="2724" spans="2:3" x14ac:dyDescent="0.2">
      <c r="B2724" t="s">
        <v>8219</v>
      </c>
      <c r="C2724">
        <v>42</v>
      </c>
    </row>
    <row r="2725" spans="2:3" x14ac:dyDescent="0.2">
      <c r="B2725" t="s">
        <v>8219</v>
      </c>
      <c r="C2725">
        <v>42</v>
      </c>
    </row>
    <row r="2726" spans="2:3" x14ac:dyDescent="0.2">
      <c r="B2726" t="s">
        <v>8219</v>
      </c>
      <c r="C2726">
        <v>42</v>
      </c>
    </row>
    <row r="2727" spans="2:3" x14ac:dyDescent="0.2">
      <c r="B2727" t="s">
        <v>8219</v>
      </c>
      <c r="C2727">
        <v>42</v>
      </c>
    </row>
    <row r="2728" spans="2:3" x14ac:dyDescent="0.2">
      <c r="B2728" t="s">
        <v>8219</v>
      </c>
      <c r="C2728">
        <v>42</v>
      </c>
    </row>
    <row r="2729" spans="2:3" x14ac:dyDescent="0.2">
      <c r="B2729" t="s">
        <v>8219</v>
      </c>
      <c r="C2729">
        <v>42</v>
      </c>
    </row>
    <row r="2730" spans="2:3" x14ac:dyDescent="0.2">
      <c r="B2730" t="s">
        <v>8219</v>
      </c>
      <c r="C2730">
        <v>42</v>
      </c>
    </row>
    <row r="2731" spans="2:3" x14ac:dyDescent="0.2">
      <c r="B2731" t="s">
        <v>8219</v>
      </c>
      <c r="C2731">
        <v>42</v>
      </c>
    </row>
    <row r="2732" spans="2:3" x14ac:dyDescent="0.2">
      <c r="B2732" t="s">
        <v>8219</v>
      </c>
      <c r="C2732">
        <v>42</v>
      </c>
    </row>
    <row r="2733" spans="2:3" x14ac:dyDescent="0.2">
      <c r="B2733" t="s">
        <v>8219</v>
      </c>
      <c r="C2733">
        <v>41</v>
      </c>
    </row>
    <row r="2734" spans="2:3" x14ac:dyDescent="0.2">
      <c r="B2734" t="s">
        <v>8219</v>
      </c>
      <c r="C2734">
        <v>41</v>
      </c>
    </row>
    <row r="2735" spans="2:3" x14ac:dyDescent="0.2">
      <c r="B2735" t="s">
        <v>8219</v>
      </c>
      <c r="C2735">
        <v>41</v>
      </c>
    </row>
    <row r="2736" spans="2:3" x14ac:dyDescent="0.2">
      <c r="B2736" t="s">
        <v>8219</v>
      </c>
      <c r="C2736">
        <v>41</v>
      </c>
    </row>
    <row r="2737" spans="2:3" x14ac:dyDescent="0.2">
      <c r="B2737" t="s">
        <v>8219</v>
      </c>
      <c r="C2737">
        <v>41</v>
      </c>
    </row>
    <row r="2738" spans="2:3" x14ac:dyDescent="0.2">
      <c r="B2738" t="s">
        <v>8219</v>
      </c>
      <c r="C2738">
        <v>41</v>
      </c>
    </row>
    <row r="2739" spans="2:3" x14ac:dyDescent="0.2">
      <c r="B2739" t="s">
        <v>8219</v>
      </c>
      <c r="C2739">
        <v>41</v>
      </c>
    </row>
    <row r="2740" spans="2:3" x14ac:dyDescent="0.2">
      <c r="B2740" t="s">
        <v>8219</v>
      </c>
      <c r="C2740">
        <v>41</v>
      </c>
    </row>
    <row r="2741" spans="2:3" x14ac:dyDescent="0.2">
      <c r="B2741" t="s">
        <v>8219</v>
      </c>
      <c r="C2741">
        <v>41</v>
      </c>
    </row>
    <row r="2742" spans="2:3" x14ac:dyDescent="0.2">
      <c r="B2742" t="s">
        <v>8219</v>
      </c>
      <c r="C2742">
        <v>41</v>
      </c>
    </row>
    <row r="2743" spans="2:3" hidden="1" x14ac:dyDescent="0.2">
      <c r="B2743" t="s">
        <v>8221</v>
      </c>
      <c r="C2743">
        <v>4</v>
      </c>
    </row>
    <row r="2744" spans="2:3" hidden="1" x14ac:dyDescent="0.2">
      <c r="B2744" t="s">
        <v>8221</v>
      </c>
      <c r="C2744">
        <v>18</v>
      </c>
    </row>
    <row r="2745" spans="2:3" hidden="1" x14ac:dyDescent="0.2">
      <c r="B2745" t="s">
        <v>8221</v>
      </c>
      <c r="C2745">
        <v>0</v>
      </c>
    </row>
    <row r="2746" spans="2:3" hidden="1" x14ac:dyDescent="0.2">
      <c r="B2746" t="s">
        <v>8221</v>
      </c>
      <c r="C2746">
        <v>22</v>
      </c>
    </row>
    <row r="2747" spans="2:3" hidden="1" x14ac:dyDescent="0.2">
      <c r="B2747" t="s">
        <v>8221</v>
      </c>
      <c r="C2747">
        <v>49</v>
      </c>
    </row>
    <row r="2748" spans="2:3" hidden="1" x14ac:dyDescent="0.2">
      <c r="B2748" t="s">
        <v>8221</v>
      </c>
      <c r="C2748">
        <v>19</v>
      </c>
    </row>
    <row r="2749" spans="2:3" hidden="1" x14ac:dyDescent="0.2">
      <c r="B2749" t="s">
        <v>8221</v>
      </c>
      <c r="C2749">
        <v>4</v>
      </c>
    </row>
    <row r="2750" spans="2:3" hidden="1" x14ac:dyDescent="0.2">
      <c r="B2750" t="s">
        <v>8221</v>
      </c>
      <c r="C2750">
        <v>4</v>
      </c>
    </row>
    <row r="2751" spans="2:3" hidden="1" x14ac:dyDescent="0.2">
      <c r="B2751" t="s">
        <v>8221</v>
      </c>
      <c r="C2751">
        <v>2</v>
      </c>
    </row>
    <row r="2752" spans="2:3" hidden="1" x14ac:dyDescent="0.2">
      <c r="B2752" t="s">
        <v>8221</v>
      </c>
      <c r="C2752">
        <v>0</v>
      </c>
    </row>
    <row r="2753" spans="2:3" hidden="1" x14ac:dyDescent="0.2">
      <c r="B2753" t="s">
        <v>8221</v>
      </c>
      <c r="C2753">
        <v>0</v>
      </c>
    </row>
    <row r="2754" spans="2:3" hidden="1" x14ac:dyDescent="0.2">
      <c r="B2754" t="s">
        <v>8221</v>
      </c>
      <c r="C2754">
        <v>14</v>
      </c>
    </row>
    <row r="2755" spans="2:3" hidden="1" x14ac:dyDescent="0.2">
      <c r="B2755" t="s">
        <v>8221</v>
      </c>
      <c r="C2755">
        <v>8</v>
      </c>
    </row>
    <row r="2756" spans="2:3" hidden="1" x14ac:dyDescent="0.2">
      <c r="B2756" t="s">
        <v>8221</v>
      </c>
      <c r="C2756">
        <v>0</v>
      </c>
    </row>
    <row r="2757" spans="2:3" hidden="1" x14ac:dyDescent="0.2">
      <c r="B2757" t="s">
        <v>8221</v>
      </c>
      <c r="C2757">
        <v>15</v>
      </c>
    </row>
    <row r="2758" spans="2:3" hidden="1" x14ac:dyDescent="0.2">
      <c r="B2758" t="s">
        <v>8221</v>
      </c>
      <c r="C2758">
        <v>33</v>
      </c>
    </row>
    <row r="2759" spans="2:3" hidden="1" x14ac:dyDescent="0.2">
      <c r="B2759" t="s">
        <v>8221</v>
      </c>
      <c r="C2759">
        <v>2</v>
      </c>
    </row>
    <row r="2760" spans="2:3" hidden="1" x14ac:dyDescent="0.2">
      <c r="B2760" t="s">
        <v>8221</v>
      </c>
      <c r="C2760">
        <v>6</v>
      </c>
    </row>
    <row r="2761" spans="2:3" hidden="1" x14ac:dyDescent="0.2">
      <c r="B2761" t="s">
        <v>8221</v>
      </c>
      <c r="C2761">
        <v>2</v>
      </c>
    </row>
    <row r="2762" spans="2:3" hidden="1" x14ac:dyDescent="0.2">
      <c r="B2762" t="s">
        <v>8221</v>
      </c>
      <c r="C2762">
        <v>0</v>
      </c>
    </row>
    <row r="2763" spans="2:3" hidden="1" x14ac:dyDescent="0.2">
      <c r="B2763" t="s">
        <v>8221</v>
      </c>
      <c r="C2763">
        <v>4</v>
      </c>
    </row>
    <row r="2764" spans="2:3" hidden="1" x14ac:dyDescent="0.2">
      <c r="B2764" t="s">
        <v>8221</v>
      </c>
      <c r="C2764">
        <v>1</v>
      </c>
    </row>
    <row r="2765" spans="2:3" hidden="1" x14ac:dyDescent="0.2">
      <c r="B2765" t="s">
        <v>8221</v>
      </c>
      <c r="C2765">
        <v>3</v>
      </c>
    </row>
    <row r="2766" spans="2:3" hidden="1" x14ac:dyDescent="0.2">
      <c r="B2766" t="s">
        <v>8221</v>
      </c>
      <c r="C2766">
        <v>4</v>
      </c>
    </row>
    <row r="2767" spans="2:3" hidden="1" x14ac:dyDescent="0.2">
      <c r="B2767" t="s">
        <v>8221</v>
      </c>
      <c r="C2767">
        <v>0</v>
      </c>
    </row>
    <row r="2768" spans="2:3" hidden="1" x14ac:dyDescent="0.2">
      <c r="B2768" t="s">
        <v>8221</v>
      </c>
      <c r="C2768">
        <v>4</v>
      </c>
    </row>
    <row r="2769" spans="2:3" hidden="1" x14ac:dyDescent="0.2">
      <c r="B2769" t="s">
        <v>8221</v>
      </c>
      <c r="C2769">
        <v>3</v>
      </c>
    </row>
    <row r="2770" spans="2:3" hidden="1" x14ac:dyDescent="0.2">
      <c r="B2770" t="s">
        <v>8221</v>
      </c>
      <c r="C2770">
        <v>34</v>
      </c>
    </row>
    <row r="2771" spans="2:3" hidden="1" x14ac:dyDescent="0.2">
      <c r="B2771" t="s">
        <v>8221</v>
      </c>
      <c r="C2771">
        <v>2</v>
      </c>
    </row>
    <row r="2772" spans="2:3" hidden="1" x14ac:dyDescent="0.2">
      <c r="B2772" t="s">
        <v>8221</v>
      </c>
      <c r="C2772">
        <v>33</v>
      </c>
    </row>
    <row r="2773" spans="2:3" hidden="1" x14ac:dyDescent="0.2">
      <c r="B2773" t="s">
        <v>8221</v>
      </c>
      <c r="C2773">
        <v>0</v>
      </c>
    </row>
    <row r="2774" spans="2:3" hidden="1" x14ac:dyDescent="0.2">
      <c r="B2774" t="s">
        <v>8221</v>
      </c>
      <c r="C2774">
        <v>0</v>
      </c>
    </row>
    <row r="2775" spans="2:3" hidden="1" x14ac:dyDescent="0.2">
      <c r="B2775" t="s">
        <v>8221</v>
      </c>
      <c r="C2775">
        <v>1</v>
      </c>
    </row>
    <row r="2776" spans="2:3" hidden="1" x14ac:dyDescent="0.2">
      <c r="B2776" t="s">
        <v>8221</v>
      </c>
      <c r="C2776">
        <v>13</v>
      </c>
    </row>
    <row r="2777" spans="2:3" hidden="1" x14ac:dyDescent="0.2">
      <c r="B2777" t="s">
        <v>8221</v>
      </c>
      <c r="C2777">
        <v>2</v>
      </c>
    </row>
    <row r="2778" spans="2:3" hidden="1" x14ac:dyDescent="0.2">
      <c r="B2778" t="s">
        <v>8221</v>
      </c>
      <c r="C2778">
        <v>36</v>
      </c>
    </row>
    <row r="2779" spans="2:3" hidden="1" x14ac:dyDescent="0.2">
      <c r="B2779" t="s">
        <v>8221</v>
      </c>
      <c r="C2779">
        <v>1</v>
      </c>
    </row>
    <row r="2780" spans="2:3" hidden="1" x14ac:dyDescent="0.2">
      <c r="B2780" t="s">
        <v>8221</v>
      </c>
      <c r="C2780">
        <v>15</v>
      </c>
    </row>
    <row r="2781" spans="2:3" hidden="1" x14ac:dyDescent="0.2">
      <c r="B2781" t="s">
        <v>8221</v>
      </c>
      <c r="C2781">
        <v>1</v>
      </c>
    </row>
    <row r="2782" spans="2:3" hidden="1" x14ac:dyDescent="0.2">
      <c r="B2782" t="s">
        <v>8221</v>
      </c>
      <c r="C2782">
        <v>0</v>
      </c>
    </row>
    <row r="2783" spans="2:3" x14ac:dyDescent="0.2">
      <c r="B2783" t="s">
        <v>8219</v>
      </c>
      <c r="C2783">
        <v>41</v>
      </c>
    </row>
    <row r="2784" spans="2:3" x14ac:dyDescent="0.2">
      <c r="B2784" t="s">
        <v>8219</v>
      </c>
      <c r="C2784">
        <v>41</v>
      </c>
    </row>
    <row r="2785" spans="2:3" x14ac:dyDescent="0.2">
      <c r="B2785" t="s">
        <v>8219</v>
      </c>
      <c r="C2785">
        <v>41</v>
      </c>
    </row>
    <row r="2786" spans="2:3" x14ac:dyDescent="0.2">
      <c r="B2786" t="s">
        <v>8219</v>
      </c>
      <c r="C2786">
        <v>41</v>
      </c>
    </row>
    <row r="2787" spans="2:3" x14ac:dyDescent="0.2">
      <c r="B2787" t="s">
        <v>8219</v>
      </c>
      <c r="C2787">
        <v>41</v>
      </c>
    </row>
    <row r="2788" spans="2:3" x14ac:dyDescent="0.2">
      <c r="B2788" t="s">
        <v>8219</v>
      </c>
      <c r="C2788">
        <v>41</v>
      </c>
    </row>
    <row r="2789" spans="2:3" x14ac:dyDescent="0.2">
      <c r="B2789" t="s">
        <v>8219</v>
      </c>
      <c r="C2789">
        <v>41</v>
      </c>
    </row>
    <row r="2790" spans="2:3" x14ac:dyDescent="0.2">
      <c r="B2790" t="s">
        <v>8219</v>
      </c>
      <c r="C2790">
        <v>41</v>
      </c>
    </row>
    <row r="2791" spans="2:3" x14ac:dyDescent="0.2">
      <c r="B2791" t="s">
        <v>8219</v>
      </c>
      <c r="C2791">
        <v>41</v>
      </c>
    </row>
    <row r="2792" spans="2:3" x14ac:dyDescent="0.2">
      <c r="B2792" t="s">
        <v>8219</v>
      </c>
      <c r="C2792">
        <v>40</v>
      </c>
    </row>
    <row r="2793" spans="2:3" x14ac:dyDescent="0.2">
      <c r="B2793" t="s">
        <v>8219</v>
      </c>
      <c r="C2793">
        <v>40</v>
      </c>
    </row>
    <row r="2794" spans="2:3" x14ac:dyDescent="0.2">
      <c r="B2794" t="s">
        <v>8219</v>
      </c>
      <c r="C2794">
        <v>40</v>
      </c>
    </row>
    <row r="2795" spans="2:3" x14ac:dyDescent="0.2">
      <c r="B2795" t="s">
        <v>8219</v>
      </c>
      <c r="C2795">
        <v>40</v>
      </c>
    </row>
    <row r="2796" spans="2:3" x14ac:dyDescent="0.2">
      <c r="B2796" t="s">
        <v>8219</v>
      </c>
      <c r="C2796">
        <v>40</v>
      </c>
    </row>
    <row r="2797" spans="2:3" x14ac:dyDescent="0.2">
      <c r="B2797" t="s">
        <v>8219</v>
      </c>
      <c r="C2797">
        <v>40</v>
      </c>
    </row>
    <row r="2798" spans="2:3" x14ac:dyDescent="0.2">
      <c r="B2798" t="s">
        <v>8219</v>
      </c>
      <c r="C2798">
        <v>40</v>
      </c>
    </row>
    <row r="2799" spans="2:3" x14ac:dyDescent="0.2">
      <c r="B2799" t="s">
        <v>8219</v>
      </c>
      <c r="C2799">
        <v>40</v>
      </c>
    </row>
    <row r="2800" spans="2:3" x14ac:dyDescent="0.2">
      <c r="B2800" t="s">
        <v>8219</v>
      </c>
      <c r="C2800">
        <v>40</v>
      </c>
    </row>
    <row r="2801" spans="2:3" x14ac:dyDescent="0.2">
      <c r="B2801" t="s">
        <v>8219</v>
      </c>
      <c r="C2801">
        <v>40</v>
      </c>
    </row>
    <row r="2802" spans="2:3" x14ac:dyDescent="0.2">
      <c r="B2802" t="s">
        <v>8219</v>
      </c>
      <c r="C2802">
        <v>40</v>
      </c>
    </row>
    <row r="2803" spans="2:3" x14ac:dyDescent="0.2">
      <c r="B2803" t="s">
        <v>8219</v>
      </c>
      <c r="C2803">
        <v>39</v>
      </c>
    </row>
    <row r="2804" spans="2:3" x14ac:dyDescent="0.2">
      <c r="B2804" t="s">
        <v>8219</v>
      </c>
      <c r="C2804">
        <v>39</v>
      </c>
    </row>
    <row r="2805" spans="2:3" x14ac:dyDescent="0.2">
      <c r="B2805" t="s">
        <v>8219</v>
      </c>
      <c r="C2805">
        <v>39</v>
      </c>
    </row>
    <row r="2806" spans="2:3" x14ac:dyDescent="0.2">
      <c r="B2806" t="s">
        <v>8219</v>
      </c>
      <c r="C2806">
        <v>39</v>
      </c>
    </row>
    <row r="2807" spans="2:3" x14ac:dyDescent="0.2">
      <c r="B2807" t="s">
        <v>8219</v>
      </c>
      <c r="C2807">
        <v>39</v>
      </c>
    </row>
    <row r="2808" spans="2:3" x14ac:dyDescent="0.2">
      <c r="B2808" t="s">
        <v>8219</v>
      </c>
      <c r="C2808">
        <v>39</v>
      </c>
    </row>
    <row r="2809" spans="2:3" x14ac:dyDescent="0.2">
      <c r="B2809" t="s">
        <v>8219</v>
      </c>
      <c r="C2809">
        <v>39</v>
      </c>
    </row>
    <row r="2810" spans="2:3" x14ac:dyDescent="0.2">
      <c r="B2810" t="s">
        <v>8219</v>
      </c>
      <c r="C2810">
        <v>39</v>
      </c>
    </row>
    <row r="2811" spans="2:3" x14ac:dyDescent="0.2">
      <c r="B2811" t="s">
        <v>8219</v>
      </c>
      <c r="C2811">
        <v>39</v>
      </c>
    </row>
    <row r="2812" spans="2:3" x14ac:dyDescent="0.2">
      <c r="B2812" t="s">
        <v>8219</v>
      </c>
      <c r="C2812">
        <v>39</v>
      </c>
    </row>
    <row r="2813" spans="2:3" x14ac:dyDescent="0.2">
      <c r="B2813" t="s">
        <v>8219</v>
      </c>
      <c r="C2813">
        <v>39</v>
      </c>
    </row>
    <row r="2814" spans="2:3" x14ac:dyDescent="0.2">
      <c r="B2814" t="s">
        <v>8219</v>
      </c>
      <c r="C2814">
        <v>39</v>
      </c>
    </row>
    <row r="2815" spans="2:3" x14ac:dyDescent="0.2">
      <c r="B2815" t="s">
        <v>8219</v>
      </c>
      <c r="C2815">
        <v>39</v>
      </c>
    </row>
    <row r="2816" spans="2:3" x14ac:dyDescent="0.2">
      <c r="B2816" t="s">
        <v>8219</v>
      </c>
      <c r="C2816">
        <v>39</v>
      </c>
    </row>
    <row r="2817" spans="2:3" x14ac:dyDescent="0.2">
      <c r="B2817" t="s">
        <v>8219</v>
      </c>
      <c r="C2817">
        <v>39</v>
      </c>
    </row>
    <row r="2818" spans="2:3" x14ac:dyDescent="0.2">
      <c r="B2818" t="s">
        <v>8219</v>
      </c>
      <c r="C2818">
        <v>39</v>
      </c>
    </row>
    <row r="2819" spans="2:3" x14ac:dyDescent="0.2">
      <c r="B2819" t="s">
        <v>8219</v>
      </c>
      <c r="C2819">
        <v>39</v>
      </c>
    </row>
    <row r="2820" spans="2:3" x14ac:dyDescent="0.2">
      <c r="B2820" t="s">
        <v>8219</v>
      </c>
      <c r="C2820">
        <v>38</v>
      </c>
    </row>
    <row r="2821" spans="2:3" x14ac:dyDescent="0.2">
      <c r="B2821" t="s">
        <v>8219</v>
      </c>
      <c r="C2821">
        <v>38</v>
      </c>
    </row>
    <row r="2822" spans="2:3" x14ac:dyDescent="0.2">
      <c r="B2822" t="s">
        <v>8219</v>
      </c>
      <c r="C2822">
        <v>38</v>
      </c>
    </row>
    <row r="2823" spans="2:3" x14ac:dyDescent="0.2">
      <c r="B2823" t="s">
        <v>8219</v>
      </c>
      <c r="C2823">
        <v>38</v>
      </c>
    </row>
    <row r="2824" spans="2:3" x14ac:dyDescent="0.2">
      <c r="B2824" t="s">
        <v>8219</v>
      </c>
      <c r="C2824">
        <v>38</v>
      </c>
    </row>
    <row r="2825" spans="2:3" x14ac:dyDescent="0.2">
      <c r="B2825" t="s">
        <v>8219</v>
      </c>
      <c r="C2825">
        <v>38</v>
      </c>
    </row>
    <row r="2826" spans="2:3" x14ac:dyDescent="0.2">
      <c r="B2826" t="s">
        <v>8219</v>
      </c>
      <c r="C2826">
        <v>38</v>
      </c>
    </row>
    <row r="2827" spans="2:3" x14ac:dyDescent="0.2">
      <c r="B2827" t="s">
        <v>8219</v>
      </c>
      <c r="C2827">
        <v>38</v>
      </c>
    </row>
    <row r="2828" spans="2:3" x14ac:dyDescent="0.2">
      <c r="B2828" t="s">
        <v>8219</v>
      </c>
      <c r="C2828">
        <v>38</v>
      </c>
    </row>
    <row r="2829" spans="2:3" x14ac:dyDescent="0.2">
      <c r="B2829" t="s">
        <v>8219</v>
      </c>
      <c r="C2829">
        <v>38</v>
      </c>
    </row>
    <row r="2830" spans="2:3" x14ac:dyDescent="0.2">
      <c r="B2830" t="s">
        <v>8219</v>
      </c>
      <c r="C2830">
        <v>38</v>
      </c>
    </row>
    <row r="2831" spans="2:3" x14ac:dyDescent="0.2">
      <c r="B2831" t="s">
        <v>8219</v>
      </c>
      <c r="C2831">
        <v>38</v>
      </c>
    </row>
    <row r="2832" spans="2:3" x14ac:dyDescent="0.2">
      <c r="B2832" t="s">
        <v>8219</v>
      </c>
      <c r="C2832">
        <v>38</v>
      </c>
    </row>
    <row r="2833" spans="2:3" x14ac:dyDescent="0.2">
      <c r="B2833" t="s">
        <v>8219</v>
      </c>
      <c r="C2833">
        <v>38</v>
      </c>
    </row>
    <row r="2834" spans="2:3" x14ac:dyDescent="0.2">
      <c r="B2834" t="s">
        <v>8219</v>
      </c>
      <c r="C2834">
        <v>38</v>
      </c>
    </row>
    <row r="2835" spans="2:3" x14ac:dyDescent="0.2">
      <c r="B2835" t="s">
        <v>8219</v>
      </c>
      <c r="C2835">
        <v>38</v>
      </c>
    </row>
    <row r="2836" spans="2:3" x14ac:dyDescent="0.2">
      <c r="B2836" t="s">
        <v>8219</v>
      </c>
      <c r="C2836">
        <v>38</v>
      </c>
    </row>
    <row r="2837" spans="2:3" x14ac:dyDescent="0.2">
      <c r="B2837" t="s">
        <v>8219</v>
      </c>
      <c r="C2837">
        <v>38</v>
      </c>
    </row>
    <row r="2838" spans="2:3" x14ac:dyDescent="0.2">
      <c r="B2838" t="s">
        <v>8219</v>
      </c>
      <c r="C2838">
        <v>38</v>
      </c>
    </row>
    <row r="2839" spans="2:3" x14ac:dyDescent="0.2">
      <c r="B2839" t="s">
        <v>8219</v>
      </c>
      <c r="C2839">
        <v>38</v>
      </c>
    </row>
    <row r="2840" spans="2:3" x14ac:dyDescent="0.2">
      <c r="B2840" t="s">
        <v>8219</v>
      </c>
      <c r="C2840">
        <v>38</v>
      </c>
    </row>
    <row r="2841" spans="2:3" x14ac:dyDescent="0.2">
      <c r="B2841" t="s">
        <v>8219</v>
      </c>
      <c r="C2841">
        <v>38</v>
      </c>
    </row>
    <row r="2842" spans="2:3" x14ac:dyDescent="0.2">
      <c r="B2842" t="s">
        <v>8219</v>
      </c>
      <c r="C2842">
        <v>38</v>
      </c>
    </row>
    <row r="2843" spans="2:3" hidden="1" x14ac:dyDescent="0.2">
      <c r="B2843" t="s">
        <v>8221</v>
      </c>
      <c r="C2843">
        <v>1</v>
      </c>
    </row>
    <row r="2844" spans="2:3" hidden="1" x14ac:dyDescent="0.2">
      <c r="B2844" t="s">
        <v>8221</v>
      </c>
      <c r="C2844">
        <v>0</v>
      </c>
    </row>
    <row r="2845" spans="2:3" hidden="1" x14ac:dyDescent="0.2">
      <c r="B2845" t="s">
        <v>8221</v>
      </c>
      <c r="C2845">
        <v>0</v>
      </c>
    </row>
    <row r="2846" spans="2:3" hidden="1" x14ac:dyDescent="0.2">
      <c r="B2846" t="s">
        <v>8221</v>
      </c>
      <c r="C2846">
        <v>1</v>
      </c>
    </row>
    <row r="2847" spans="2:3" hidden="1" x14ac:dyDescent="0.2">
      <c r="B2847" t="s">
        <v>8221</v>
      </c>
      <c r="C2847">
        <v>39</v>
      </c>
    </row>
    <row r="2848" spans="2:3" hidden="1" x14ac:dyDescent="0.2">
      <c r="B2848" t="s">
        <v>8221</v>
      </c>
      <c r="C2848">
        <v>0</v>
      </c>
    </row>
    <row r="2849" spans="2:3" hidden="1" x14ac:dyDescent="0.2">
      <c r="B2849" t="s">
        <v>8221</v>
      </c>
      <c r="C2849">
        <v>0</v>
      </c>
    </row>
    <row r="2850" spans="2:3" hidden="1" x14ac:dyDescent="0.2">
      <c r="B2850" t="s">
        <v>8221</v>
      </c>
      <c r="C2850">
        <v>3</v>
      </c>
    </row>
    <row r="2851" spans="2:3" hidden="1" x14ac:dyDescent="0.2">
      <c r="B2851" t="s">
        <v>8221</v>
      </c>
      <c r="C2851">
        <v>1</v>
      </c>
    </row>
    <row r="2852" spans="2:3" hidden="1" x14ac:dyDescent="0.2">
      <c r="B2852" t="s">
        <v>8221</v>
      </c>
      <c r="C2852">
        <v>13</v>
      </c>
    </row>
    <row r="2853" spans="2:3" hidden="1" x14ac:dyDescent="0.2">
      <c r="B2853" t="s">
        <v>8221</v>
      </c>
      <c r="C2853">
        <v>0</v>
      </c>
    </row>
    <row r="2854" spans="2:3" hidden="1" x14ac:dyDescent="0.2">
      <c r="B2854" t="s">
        <v>8221</v>
      </c>
      <c r="C2854">
        <v>6</v>
      </c>
    </row>
    <row r="2855" spans="2:3" hidden="1" x14ac:dyDescent="0.2">
      <c r="B2855" t="s">
        <v>8221</v>
      </c>
      <c r="C2855">
        <v>0</v>
      </c>
    </row>
    <row r="2856" spans="2:3" hidden="1" x14ac:dyDescent="0.2">
      <c r="B2856" t="s">
        <v>8221</v>
      </c>
      <c r="C2856">
        <v>14</v>
      </c>
    </row>
    <row r="2857" spans="2:3" hidden="1" x14ac:dyDescent="0.2">
      <c r="B2857" t="s">
        <v>8221</v>
      </c>
      <c r="C2857">
        <v>5</v>
      </c>
    </row>
    <row r="2858" spans="2:3" hidden="1" x14ac:dyDescent="0.2">
      <c r="B2858" t="s">
        <v>8221</v>
      </c>
      <c r="C2858">
        <v>6</v>
      </c>
    </row>
    <row r="2859" spans="2:3" hidden="1" x14ac:dyDescent="0.2">
      <c r="B2859" t="s">
        <v>8221</v>
      </c>
      <c r="C2859">
        <v>15</v>
      </c>
    </row>
    <row r="2860" spans="2:3" hidden="1" x14ac:dyDescent="0.2">
      <c r="B2860" t="s">
        <v>8221</v>
      </c>
      <c r="C2860">
        <v>0</v>
      </c>
    </row>
    <row r="2861" spans="2:3" hidden="1" x14ac:dyDescent="0.2">
      <c r="B2861" t="s">
        <v>8221</v>
      </c>
      <c r="C2861">
        <v>1</v>
      </c>
    </row>
    <row r="2862" spans="2:3" hidden="1" x14ac:dyDescent="0.2">
      <c r="B2862" t="s">
        <v>8221</v>
      </c>
      <c r="C2862">
        <v>9</v>
      </c>
    </row>
    <row r="2863" spans="2:3" hidden="1" x14ac:dyDescent="0.2">
      <c r="B2863" t="s">
        <v>8221</v>
      </c>
      <c r="C2863">
        <v>3</v>
      </c>
    </row>
    <row r="2864" spans="2:3" hidden="1" x14ac:dyDescent="0.2">
      <c r="B2864" t="s">
        <v>8221</v>
      </c>
      <c r="C2864">
        <v>3</v>
      </c>
    </row>
    <row r="2865" spans="2:3" hidden="1" x14ac:dyDescent="0.2">
      <c r="B2865" t="s">
        <v>8221</v>
      </c>
      <c r="C2865">
        <v>1</v>
      </c>
    </row>
    <row r="2866" spans="2:3" hidden="1" x14ac:dyDescent="0.2">
      <c r="B2866" t="s">
        <v>8221</v>
      </c>
      <c r="C2866">
        <v>3</v>
      </c>
    </row>
    <row r="2867" spans="2:3" hidden="1" x14ac:dyDescent="0.2">
      <c r="B2867" t="s">
        <v>8221</v>
      </c>
      <c r="C2867">
        <v>0</v>
      </c>
    </row>
    <row r="2868" spans="2:3" hidden="1" x14ac:dyDescent="0.2">
      <c r="B2868" t="s">
        <v>8221</v>
      </c>
      <c r="C2868">
        <v>2</v>
      </c>
    </row>
    <row r="2869" spans="2:3" hidden="1" x14ac:dyDescent="0.2">
      <c r="B2869" t="s">
        <v>8221</v>
      </c>
      <c r="C2869">
        <v>10</v>
      </c>
    </row>
    <row r="2870" spans="2:3" hidden="1" x14ac:dyDescent="0.2">
      <c r="B2870" t="s">
        <v>8221</v>
      </c>
      <c r="C2870">
        <v>60</v>
      </c>
    </row>
    <row r="2871" spans="2:3" hidden="1" x14ac:dyDescent="0.2">
      <c r="B2871" t="s">
        <v>8221</v>
      </c>
      <c r="C2871">
        <v>5</v>
      </c>
    </row>
    <row r="2872" spans="2:3" hidden="1" x14ac:dyDescent="0.2">
      <c r="B2872" t="s">
        <v>8221</v>
      </c>
      <c r="C2872">
        <v>9</v>
      </c>
    </row>
    <row r="2873" spans="2:3" hidden="1" x14ac:dyDescent="0.2">
      <c r="B2873" t="s">
        <v>8221</v>
      </c>
      <c r="C2873">
        <v>13</v>
      </c>
    </row>
    <row r="2874" spans="2:3" hidden="1" x14ac:dyDescent="0.2">
      <c r="B2874" t="s">
        <v>8221</v>
      </c>
      <c r="C2874">
        <v>0</v>
      </c>
    </row>
    <row r="2875" spans="2:3" hidden="1" x14ac:dyDescent="0.2">
      <c r="B2875" t="s">
        <v>8221</v>
      </c>
      <c r="C2875">
        <v>8</v>
      </c>
    </row>
    <row r="2876" spans="2:3" hidden="1" x14ac:dyDescent="0.2">
      <c r="B2876" t="s">
        <v>8221</v>
      </c>
      <c r="C2876">
        <v>3</v>
      </c>
    </row>
    <row r="2877" spans="2:3" hidden="1" x14ac:dyDescent="0.2">
      <c r="B2877" t="s">
        <v>8221</v>
      </c>
      <c r="C2877">
        <v>3</v>
      </c>
    </row>
    <row r="2878" spans="2:3" hidden="1" x14ac:dyDescent="0.2">
      <c r="B2878" t="s">
        <v>8221</v>
      </c>
      <c r="C2878">
        <v>0</v>
      </c>
    </row>
    <row r="2879" spans="2:3" hidden="1" x14ac:dyDescent="0.2">
      <c r="B2879" t="s">
        <v>8221</v>
      </c>
      <c r="C2879">
        <v>6</v>
      </c>
    </row>
    <row r="2880" spans="2:3" hidden="1" x14ac:dyDescent="0.2">
      <c r="B2880" t="s">
        <v>8221</v>
      </c>
      <c r="C2880">
        <v>4</v>
      </c>
    </row>
    <row r="2881" spans="2:3" hidden="1" x14ac:dyDescent="0.2">
      <c r="B2881" t="s">
        <v>8221</v>
      </c>
      <c r="C2881">
        <v>1</v>
      </c>
    </row>
    <row r="2882" spans="2:3" hidden="1" x14ac:dyDescent="0.2">
      <c r="B2882" t="s">
        <v>8221</v>
      </c>
      <c r="C2882">
        <v>29</v>
      </c>
    </row>
    <row r="2883" spans="2:3" hidden="1" x14ac:dyDescent="0.2">
      <c r="B2883" t="s">
        <v>8221</v>
      </c>
      <c r="C2883">
        <v>0</v>
      </c>
    </row>
    <row r="2884" spans="2:3" hidden="1" x14ac:dyDescent="0.2">
      <c r="B2884" t="s">
        <v>8221</v>
      </c>
      <c r="C2884">
        <v>4</v>
      </c>
    </row>
    <row r="2885" spans="2:3" hidden="1" x14ac:dyDescent="0.2">
      <c r="B2885" t="s">
        <v>8221</v>
      </c>
      <c r="C2885">
        <v>5</v>
      </c>
    </row>
    <row r="2886" spans="2:3" hidden="1" x14ac:dyDescent="0.2">
      <c r="B2886" t="s">
        <v>8221</v>
      </c>
      <c r="C2886">
        <v>4</v>
      </c>
    </row>
    <row r="2887" spans="2:3" hidden="1" x14ac:dyDescent="0.2">
      <c r="B2887" t="s">
        <v>8221</v>
      </c>
      <c r="C2887">
        <v>5</v>
      </c>
    </row>
    <row r="2888" spans="2:3" hidden="1" x14ac:dyDescent="0.2">
      <c r="B2888" t="s">
        <v>8221</v>
      </c>
      <c r="C2888">
        <v>1</v>
      </c>
    </row>
    <row r="2889" spans="2:3" hidden="1" x14ac:dyDescent="0.2">
      <c r="B2889" t="s">
        <v>8221</v>
      </c>
      <c r="C2889">
        <v>1</v>
      </c>
    </row>
    <row r="2890" spans="2:3" hidden="1" x14ac:dyDescent="0.2">
      <c r="B2890" t="s">
        <v>8221</v>
      </c>
      <c r="C2890">
        <v>0</v>
      </c>
    </row>
    <row r="2891" spans="2:3" hidden="1" x14ac:dyDescent="0.2">
      <c r="B2891" t="s">
        <v>8221</v>
      </c>
      <c r="C2891">
        <v>14</v>
      </c>
    </row>
    <row r="2892" spans="2:3" hidden="1" x14ac:dyDescent="0.2">
      <c r="B2892" t="s">
        <v>8221</v>
      </c>
      <c r="C2892">
        <v>3</v>
      </c>
    </row>
    <row r="2893" spans="2:3" hidden="1" x14ac:dyDescent="0.2">
      <c r="B2893" t="s">
        <v>8221</v>
      </c>
      <c r="C2893">
        <v>10</v>
      </c>
    </row>
    <row r="2894" spans="2:3" hidden="1" x14ac:dyDescent="0.2">
      <c r="B2894" t="s">
        <v>8221</v>
      </c>
      <c r="C2894">
        <v>17</v>
      </c>
    </row>
    <row r="2895" spans="2:3" hidden="1" x14ac:dyDescent="0.2">
      <c r="B2895" t="s">
        <v>8221</v>
      </c>
      <c r="C2895">
        <v>2</v>
      </c>
    </row>
    <row r="2896" spans="2:3" hidden="1" x14ac:dyDescent="0.2">
      <c r="B2896" t="s">
        <v>8221</v>
      </c>
      <c r="C2896">
        <v>0</v>
      </c>
    </row>
    <row r="2897" spans="2:3" hidden="1" x14ac:dyDescent="0.2">
      <c r="B2897" t="s">
        <v>8221</v>
      </c>
      <c r="C2897">
        <v>4</v>
      </c>
    </row>
    <row r="2898" spans="2:3" hidden="1" x14ac:dyDescent="0.2">
      <c r="B2898" t="s">
        <v>8221</v>
      </c>
      <c r="C2898">
        <v>12</v>
      </c>
    </row>
    <row r="2899" spans="2:3" hidden="1" x14ac:dyDescent="0.2">
      <c r="B2899" t="s">
        <v>8221</v>
      </c>
      <c r="C2899">
        <v>3</v>
      </c>
    </row>
    <row r="2900" spans="2:3" hidden="1" x14ac:dyDescent="0.2">
      <c r="B2900" t="s">
        <v>8221</v>
      </c>
      <c r="C2900">
        <v>12</v>
      </c>
    </row>
    <row r="2901" spans="2:3" hidden="1" x14ac:dyDescent="0.2">
      <c r="B2901" t="s">
        <v>8221</v>
      </c>
      <c r="C2901">
        <v>0</v>
      </c>
    </row>
    <row r="2902" spans="2:3" hidden="1" x14ac:dyDescent="0.2">
      <c r="B2902" t="s">
        <v>8221</v>
      </c>
      <c r="C2902">
        <v>7</v>
      </c>
    </row>
    <row r="2903" spans="2:3" hidden="1" x14ac:dyDescent="0.2">
      <c r="B2903" t="s">
        <v>8221</v>
      </c>
      <c r="C2903">
        <v>2</v>
      </c>
    </row>
    <row r="2904" spans="2:3" hidden="1" x14ac:dyDescent="0.2">
      <c r="B2904" t="s">
        <v>8221</v>
      </c>
      <c r="C2904">
        <v>1</v>
      </c>
    </row>
    <row r="2905" spans="2:3" hidden="1" x14ac:dyDescent="0.2">
      <c r="B2905" t="s">
        <v>8221</v>
      </c>
      <c r="C2905">
        <v>4</v>
      </c>
    </row>
    <row r="2906" spans="2:3" hidden="1" x14ac:dyDescent="0.2">
      <c r="B2906" t="s">
        <v>8221</v>
      </c>
      <c r="C2906">
        <v>4</v>
      </c>
    </row>
    <row r="2907" spans="2:3" hidden="1" x14ac:dyDescent="0.2">
      <c r="B2907" t="s">
        <v>8221</v>
      </c>
      <c r="C2907">
        <v>17</v>
      </c>
    </row>
    <row r="2908" spans="2:3" hidden="1" x14ac:dyDescent="0.2">
      <c r="B2908" t="s">
        <v>8221</v>
      </c>
      <c r="C2908">
        <v>7</v>
      </c>
    </row>
    <row r="2909" spans="2:3" hidden="1" x14ac:dyDescent="0.2">
      <c r="B2909" t="s">
        <v>8221</v>
      </c>
      <c r="C2909">
        <v>2</v>
      </c>
    </row>
    <row r="2910" spans="2:3" hidden="1" x14ac:dyDescent="0.2">
      <c r="B2910" t="s">
        <v>8221</v>
      </c>
      <c r="C2910">
        <v>5</v>
      </c>
    </row>
    <row r="2911" spans="2:3" hidden="1" x14ac:dyDescent="0.2">
      <c r="B2911" t="s">
        <v>8221</v>
      </c>
      <c r="C2911">
        <v>1</v>
      </c>
    </row>
    <row r="2912" spans="2:3" hidden="1" x14ac:dyDescent="0.2">
      <c r="B2912" t="s">
        <v>8221</v>
      </c>
      <c r="C2912">
        <v>1</v>
      </c>
    </row>
    <row r="2913" spans="2:3" hidden="1" x14ac:dyDescent="0.2">
      <c r="B2913" t="s">
        <v>8221</v>
      </c>
      <c r="C2913">
        <v>14</v>
      </c>
    </row>
    <row r="2914" spans="2:3" hidden="1" x14ac:dyDescent="0.2">
      <c r="B2914" t="s">
        <v>8221</v>
      </c>
      <c r="C2914">
        <v>26</v>
      </c>
    </row>
    <row r="2915" spans="2:3" hidden="1" x14ac:dyDescent="0.2">
      <c r="B2915" t="s">
        <v>8221</v>
      </c>
      <c r="C2915">
        <v>2</v>
      </c>
    </row>
    <row r="2916" spans="2:3" hidden="1" x14ac:dyDescent="0.2">
      <c r="B2916" t="s">
        <v>8221</v>
      </c>
      <c r="C2916">
        <v>1</v>
      </c>
    </row>
    <row r="2917" spans="2:3" hidden="1" x14ac:dyDescent="0.2">
      <c r="B2917" t="s">
        <v>8221</v>
      </c>
      <c r="C2917">
        <v>3</v>
      </c>
    </row>
    <row r="2918" spans="2:3" hidden="1" x14ac:dyDescent="0.2">
      <c r="B2918" t="s">
        <v>8221</v>
      </c>
      <c r="C2918">
        <v>7</v>
      </c>
    </row>
    <row r="2919" spans="2:3" hidden="1" x14ac:dyDescent="0.2">
      <c r="B2919" t="s">
        <v>8221</v>
      </c>
      <c r="C2919">
        <v>9</v>
      </c>
    </row>
    <row r="2920" spans="2:3" hidden="1" x14ac:dyDescent="0.2">
      <c r="B2920" t="s">
        <v>8221</v>
      </c>
      <c r="C2920">
        <v>20</v>
      </c>
    </row>
    <row r="2921" spans="2:3" hidden="1" x14ac:dyDescent="0.2">
      <c r="B2921" t="s">
        <v>8221</v>
      </c>
      <c r="C2921">
        <v>6</v>
      </c>
    </row>
    <row r="2922" spans="2:3" hidden="1" x14ac:dyDescent="0.2">
      <c r="B2922" t="s">
        <v>8221</v>
      </c>
      <c r="C2922">
        <v>13</v>
      </c>
    </row>
    <row r="2923" spans="2:3" x14ac:dyDescent="0.2">
      <c r="B2923" t="s">
        <v>8219</v>
      </c>
      <c r="C2923">
        <v>38</v>
      </c>
    </row>
    <row r="2924" spans="2:3" x14ac:dyDescent="0.2">
      <c r="B2924" t="s">
        <v>8219</v>
      </c>
      <c r="C2924">
        <v>38</v>
      </c>
    </row>
    <row r="2925" spans="2:3" x14ac:dyDescent="0.2">
      <c r="B2925" t="s">
        <v>8219</v>
      </c>
      <c r="C2925">
        <v>38</v>
      </c>
    </row>
    <row r="2926" spans="2:3" x14ac:dyDescent="0.2">
      <c r="B2926" t="s">
        <v>8219</v>
      </c>
      <c r="C2926">
        <v>38</v>
      </c>
    </row>
    <row r="2927" spans="2:3" x14ac:dyDescent="0.2">
      <c r="B2927" t="s">
        <v>8219</v>
      </c>
      <c r="C2927">
        <v>38</v>
      </c>
    </row>
    <row r="2928" spans="2:3" x14ac:dyDescent="0.2">
      <c r="B2928" t="s">
        <v>8219</v>
      </c>
      <c r="C2928">
        <v>38</v>
      </c>
    </row>
    <row r="2929" spans="2:3" x14ac:dyDescent="0.2">
      <c r="B2929" t="s">
        <v>8219</v>
      </c>
      <c r="C2929">
        <v>37</v>
      </c>
    </row>
    <row r="2930" spans="2:3" x14ac:dyDescent="0.2">
      <c r="B2930" t="s">
        <v>8219</v>
      </c>
      <c r="C2930">
        <v>37</v>
      </c>
    </row>
    <row r="2931" spans="2:3" x14ac:dyDescent="0.2">
      <c r="B2931" t="s">
        <v>8219</v>
      </c>
      <c r="C2931">
        <v>37</v>
      </c>
    </row>
    <row r="2932" spans="2:3" x14ac:dyDescent="0.2">
      <c r="B2932" t="s">
        <v>8219</v>
      </c>
      <c r="C2932">
        <v>37</v>
      </c>
    </row>
    <row r="2933" spans="2:3" x14ac:dyDescent="0.2">
      <c r="B2933" t="s">
        <v>8219</v>
      </c>
      <c r="C2933">
        <v>37</v>
      </c>
    </row>
    <row r="2934" spans="2:3" x14ac:dyDescent="0.2">
      <c r="B2934" t="s">
        <v>8219</v>
      </c>
      <c r="C2934">
        <v>37</v>
      </c>
    </row>
    <row r="2935" spans="2:3" x14ac:dyDescent="0.2">
      <c r="B2935" t="s">
        <v>8219</v>
      </c>
      <c r="C2935">
        <v>37</v>
      </c>
    </row>
    <row r="2936" spans="2:3" x14ac:dyDescent="0.2">
      <c r="B2936" t="s">
        <v>8219</v>
      </c>
      <c r="C2936">
        <v>37</v>
      </c>
    </row>
    <row r="2937" spans="2:3" x14ac:dyDescent="0.2">
      <c r="B2937" t="s">
        <v>8219</v>
      </c>
      <c r="C2937">
        <v>37</v>
      </c>
    </row>
    <row r="2938" spans="2:3" x14ac:dyDescent="0.2">
      <c r="B2938" t="s">
        <v>8219</v>
      </c>
      <c r="C2938">
        <v>37</v>
      </c>
    </row>
    <row r="2939" spans="2:3" x14ac:dyDescent="0.2">
      <c r="B2939" t="s">
        <v>8219</v>
      </c>
      <c r="C2939">
        <v>37</v>
      </c>
    </row>
    <row r="2940" spans="2:3" x14ac:dyDescent="0.2">
      <c r="B2940" t="s">
        <v>8219</v>
      </c>
      <c r="C2940">
        <v>37</v>
      </c>
    </row>
    <row r="2941" spans="2:3" x14ac:dyDescent="0.2">
      <c r="B2941" t="s">
        <v>8219</v>
      </c>
      <c r="C2941">
        <v>37</v>
      </c>
    </row>
    <row r="2942" spans="2:3" x14ac:dyDescent="0.2">
      <c r="B2942" t="s">
        <v>8219</v>
      </c>
      <c r="C2942">
        <v>37</v>
      </c>
    </row>
    <row r="2943" spans="2:3" hidden="1" x14ac:dyDescent="0.2">
      <c r="B2943" t="s">
        <v>8221</v>
      </c>
      <c r="C2943">
        <v>1</v>
      </c>
    </row>
    <row r="2944" spans="2:3" hidden="1" x14ac:dyDescent="0.2">
      <c r="B2944" t="s">
        <v>8221</v>
      </c>
      <c r="C2944">
        <v>202</v>
      </c>
    </row>
    <row r="2945" spans="2:3" hidden="1" x14ac:dyDescent="0.2">
      <c r="B2945" t="s">
        <v>8221</v>
      </c>
      <c r="C2945">
        <v>0</v>
      </c>
    </row>
    <row r="2946" spans="2:3" hidden="1" x14ac:dyDescent="0.2">
      <c r="B2946" t="s">
        <v>8221</v>
      </c>
      <c r="C2946">
        <v>1</v>
      </c>
    </row>
    <row r="2947" spans="2:3" hidden="1" x14ac:dyDescent="0.2">
      <c r="B2947" t="s">
        <v>8221</v>
      </c>
      <c r="C2947">
        <v>0</v>
      </c>
    </row>
    <row r="2948" spans="2:3" hidden="1" x14ac:dyDescent="0.2">
      <c r="B2948" t="s">
        <v>8221</v>
      </c>
      <c r="C2948">
        <v>2</v>
      </c>
    </row>
    <row r="2949" spans="2:3" hidden="1" x14ac:dyDescent="0.2">
      <c r="B2949" t="s">
        <v>8221</v>
      </c>
      <c r="C2949">
        <v>13</v>
      </c>
    </row>
    <row r="2950" spans="2:3" hidden="1" x14ac:dyDescent="0.2">
      <c r="B2950" t="s">
        <v>8221</v>
      </c>
      <c r="C2950">
        <v>9</v>
      </c>
    </row>
    <row r="2951" spans="2:3" hidden="1" x14ac:dyDescent="0.2">
      <c r="B2951" t="s">
        <v>8221</v>
      </c>
      <c r="C2951">
        <v>2</v>
      </c>
    </row>
    <row r="2952" spans="2:3" hidden="1" x14ac:dyDescent="0.2">
      <c r="B2952" t="s">
        <v>8221</v>
      </c>
      <c r="C2952">
        <v>0</v>
      </c>
    </row>
    <row r="2953" spans="2:3" hidden="1" x14ac:dyDescent="0.2">
      <c r="B2953" t="s">
        <v>8220</v>
      </c>
      <c r="C2953">
        <v>58</v>
      </c>
    </row>
    <row r="2954" spans="2:3" hidden="1" x14ac:dyDescent="0.2">
      <c r="B2954" t="s">
        <v>8220</v>
      </c>
      <c r="C2954">
        <v>8</v>
      </c>
    </row>
    <row r="2955" spans="2:3" hidden="1" x14ac:dyDescent="0.2">
      <c r="B2955" t="s">
        <v>8220</v>
      </c>
      <c r="C2955">
        <v>3</v>
      </c>
    </row>
    <row r="2956" spans="2:3" hidden="1" x14ac:dyDescent="0.2">
      <c r="B2956" t="s">
        <v>8220</v>
      </c>
      <c r="C2956">
        <v>0</v>
      </c>
    </row>
    <row r="2957" spans="2:3" hidden="1" x14ac:dyDescent="0.2">
      <c r="B2957" t="s">
        <v>8220</v>
      </c>
      <c r="C2957">
        <v>11</v>
      </c>
    </row>
    <row r="2958" spans="2:3" hidden="1" x14ac:dyDescent="0.2">
      <c r="B2958" t="s">
        <v>8220</v>
      </c>
      <c r="C2958">
        <v>20</v>
      </c>
    </row>
    <row r="2959" spans="2:3" hidden="1" x14ac:dyDescent="0.2">
      <c r="B2959" t="s">
        <v>8220</v>
      </c>
      <c r="C2959">
        <v>3</v>
      </c>
    </row>
    <row r="2960" spans="2:3" hidden="1" x14ac:dyDescent="0.2">
      <c r="B2960" t="s">
        <v>8220</v>
      </c>
      <c r="C2960">
        <v>0</v>
      </c>
    </row>
    <row r="2961" spans="2:3" hidden="1" x14ac:dyDescent="0.2">
      <c r="B2961" t="s">
        <v>8220</v>
      </c>
      <c r="C2961">
        <v>0</v>
      </c>
    </row>
    <row r="2962" spans="2:3" hidden="1" x14ac:dyDescent="0.2">
      <c r="B2962" t="s">
        <v>8220</v>
      </c>
      <c r="C2962">
        <v>0</v>
      </c>
    </row>
    <row r="2963" spans="2:3" x14ac:dyDescent="0.2">
      <c r="B2963" t="s">
        <v>8219</v>
      </c>
      <c r="C2963">
        <v>37</v>
      </c>
    </row>
    <row r="2964" spans="2:3" x14ac:dyDescent="0.2">
      <c r="B2964" t="s">
        <v>8219</v>
      </c>
      <c r="C2964">
        <v>37</v>
      </c>
    </row>
    <row r="2965" spans="2:3" x14ac:dyDescent="0.2">
      <c r="B2965" t="s">
        <v>8219</v>
      </c>
      <c r="C2965">
        <v>37</v>
      </c>
    </row>
    <row r="2966" spans="2:3" x14ac:dyDescent="0.2">
      <c r="B2966" t="s">
        <v>8219</v>
      </c>
      <c r="C2966">
        <v>36</v>
      </c>
    </row>
    <row r="2967" spans="2:3" x14ac:dyDescent="0.2">
      <c r="B2967" t="s">
        <v>8219</v>
      </c>
      <c r="C2967">
        <v>36</v>
      </c>
    </row>
    <row r="2968" spans="2:3" x14ac:dyDescent="0.2">
      <c r="B2968" t="s">
        <v>8219</v>
      </c>
      <c r="C2968">
        <v>36</v>
      </c>
    </row>
    <row r="2969" spans="2:3" x14ac:dyDescent="0.2">
      <c r="B2969" t="s">
        <v>8219</v>
      </c>
      <c r="C2969">
        <v>36</v>
      </c>
    </row>
    <row r="2970" spans="2:3" x14ac:dyDescent="0.2">
      <c r="B2970" t="s">
        <v>8219</v>
      </c>
      <c r="C2970">
        <v>36</v>
      </c>
    </row>
    <row r="2971" spans="2:3" x14ac:dyDescent="0.2">
      <c r="B2971" t="s">
        <v>8219</v>
      </c>
      <c r="C2971">
        <v>36</v>
      </c>
    </row>
    <row r="2972" spans="2:3" x14ac:dyDescent="0.2">
      <c r="B2972" t="s">
        <v>8219</v>
      </c>
      <c r="C2972">
        <v>36</v>
      </c>
    </row>
    <row r="2973" spans="2:3" x14ac:dyDescent="0.2">
      <c r="B2973" t="s">
        <v>8219</v>
      </c>
      <c r="C2973">
        <v>36</v>
      </c>
    </row>
    <row r="2974" spans="2:3" x14ac:dyDescent="0.2">
      <c r="B2974" t="s">
        <v>8219</v>
      </c>
      <c r="C2974">
        <v>36</v>
      </c>
    </row>
    <row r="2975" spans="2:3" x14ac:dyDescent="0.2">
      <c r="B2975" t="s">
        <v>8219</v>
      </c>
      <c r="C2975">
        <v>36</v>
      </c>
    </row>
    <row r="2976" spans="2:3" x14ac:dyDescent="0.2">
      <c r="B2976" t="s">
        <v>8219</v>
      </c>
      <c r="C2976">
        <v>36</v>
      </c>
    </row>
    <row r="2977" spans="2:3" x14ac:dyDescent="0.2">
      <c r="B2977" t="s">
        <v>8219</v>
      </c>
      <c r="C2977">
        <v>36</v>
      </c>
    </row>
    <row r="2978" spans="2:3" x14ac:dyDescent="0.2">
      <c r="B2978" t="s">
        <v>8219</v>
      </c>
      <c r="C2978">
        <v>36</v>
      </c>
    </row>
    <row r="2979" spans="2:3" x14ac:dyDescent="0.2">
      <c r="B2979" t="s">
        <v>8219</v>
      </c>
      <c r="C2979">
        <v>36</v>
      </c>
    </row>
    <row r="2980" spans="2:3" x14ac:dyDescent="0.2">
      <c r="B2980" t="s">
        <v>8219</v>
      </c>
      <c r="C2980">
        <v>36</v>
      </c>
    </row>
    <row r="2981" spans="2:3" x14ac:dyDescent="0.2">
      <c r="B2981" t="s">
        <v>8219</v>
      </c>
      <c r="C2981">
        <v>35</v>
      </c>
    </row>
    <row r="2982" spans="2:3" x14ac:dyDescent="0.2">
      <c r="B2982" t="s">
        <v>8219</v>
      </c>
      <c r="C2982">
        <v>35</v>
      </c>
    </row>
    <row r="2983" spans="2:3" x14ac:dyDescent="0.2">
      <c r="B2983" t="s">
        <v>8219</v>
      </c>
      <c r="C2983">
        <v>35</v>
      </c>
    </row>
    <row r="2984" spans="2:3" x14ac:dyDescent="0.2">
      <c r="B2984" t="s">
        <v>8219</v>
      </c>
      <c r="C2984">
        <v>35</v>
      </c>
    </row>
    <row r="2985" spans="2:3" x14ac:dyDescent="0.2">
      <c r="B2985" t="s">
        <v>8219</v>
      </c>
      <c r="C2985">
        <v>35</v>
      </c>
    </row>
    <row r="2986" spans="2:3" x14ac:dyDescent="0.2">
      <c r="B2986" t="s">
        <v>8219</v>
      </c>
      <c r="C2986">
        <v>35</v>
      </c>
    </row>
    <row r="2987" spans="2:3" x14ac:dyDescent="0.2">
      <c r="B2987" t="s">
        <v>8219</v>
      </c>
      <c r="C2987">
        <v>35</v>
      </c>
    </row>
    <row r="2988" spans="2:3" x14ac:dyDescent="0.2">
      <c r="B2988" t="s">
        <v>8219</v>
      </c>
      <c r="C2988">
        <v>35</v>
      </c>
    </row>
    <row r="2989" spans="2:3" x14ac:dyDescent="0.2">
      <c r="B2989" t="s">
        <v>8219</v>
      </c>
      <c r="C2989">
        <v>35</v>
      </c>
    </row>
    <row r="2990" spans="2:3" x14ac:dyDescent="0.2">
      <c r="B2990" t="s">
        <v>8219</v>
      </c>
      <c r="C2990">
        <v>35</v>
      </c>
    </row>
    <row r="2991" spans="2:3" x14ac:dyDescent="0.2">
      <c r="B2991" t="s">
        <v>8219</v>
      </c>
      <c r="C2991">
        <v>35</v>
      </c>
    </row>
    <row r="2992" spans="2:3" x14ac:dyDescent="0.2">
      <c r="B2992" t="s">
        <v>8219</v>
      </c>
      <c r="C2992">
        <v>35</v>
      </c>
    </row>
    <row r="2993" spans="2:3" x14ac:dyDescent="0.2">
      <c r="B2993" t="s">
        <v>8219</v>
      </c>
      <c r="C2993">
        <v>35</v>
      </c>
    </row>
    <row r="2994" spans="2:3" x14ac:dyDescent="0.2">
      <c r="B2994" t="s">
        <v>8219</v>
      </c>
      <c r="C2994">
        <v>35</v>
      </c>
    </row>
    <row r="2995" spans="2:3" x14ac:dyDescent="0.2">
      <c r="B2995" t="s">
        <v>8219</v>
      </c>
      <c r="C2995">
        <v>35</v>
      </c>
    </row>
    <row r="2996" spans="2:3" x14ac:dyDescent="0.2">
      <c r="B2996" t="s">
        <v>8219</v>
      </c>
      <c r="C2996">
        <v>35</v>
      </c>
    </row>
    <row r="2997" spans="2:3" x14ac:dyDescent="0.2">
      <c r="B2997" t="s">
        <v>8219</v>
      </c>
      <c r="C2997">
        <v>35</v>
      </c>
    </row>
    <row r="2998" spans="2:3" x14ac:dyDescent="0.2">
      <c r="B2998" t="s">
        <v>8219</v>
      </c>
      <c r="C2998">
        <v>35</v>
      </c>
    </row>
    <row r="2999" spans="2:3" x14ac:dyDescent="0.2">
      <c r="B2999" t="s">
        <v>8219</v>
      </c>
      <c r="C2999">
        <v>35</v>
      </c>
    </row>
    <row r="3000" spans="2:3" x14ac:dyDescent="0.2">
      <c r="B3000" t="s">
        <v>8219</v>
      </c>
      <c r="C3000">
        <v>35</v>
      </c>
    </row>
    <row r="3001" spans="2:3" x14ac:dyDescent="0.2">
      <c r="B3001" t="s">
        <v>8219</v>
      </c>
      <c r="C3001">
        <v>35</v>
      </c>
    </row>
    <row r="3002" spans="2:3" x14ac:dyDescent="0.2">
      <c r="B3002" t="s">
        <v>8219</v>
      </c>
      <c r="C3002">
        <v>35</v>
      </c>
    </row>
    <row r="3003" spans="2:3" x14ac:dyDescent="0.2">
      <c r="B3003" t="s">
        <v>8219</v>
      </c>
      <c r="C3003">
        <v>35</v>
      </c>
    </row>
    <row r="3004" spans="2:3" x14ac:dyDescent="0.2">
      <c r="B3004" t="s">
        <v>8219</v>
      </c>
      <c r="C3004">
        <v>34</v>
      </c>
    </row>
    <row r="3005" spans="2:3" x14ac:dyDescent="0.2">
      <c r="B3005" t="s">
        <v>8219</v>
      </c>
      <c r="C3005">
        <v>34</v>
      </c>
    </row>
    <row r="3006" spans="2:3" x14ac:dyDescent="0.2">
      <c r="B3006" t="s">
        <v>8219</v>
      </c>
      <c r="C3006">
        <v>34</v>
      </c>
    </row>
    <row r="3007" spans="2:3" x14ac:dyDescent="0.2">
      <c r="B3007" t="s">
        <v>8219</v>
      </c>
      <c r="C3007">
        <v>34</v>
      </c>
    </row>
    <row r="3008" spans="2:3" x14ac:dyDescent="0.2">
      <c r="B3008" t="s">
        <v>8219</v>
      </c>
      <c r="C3008">
        <v>34</v>
      </c>
    </row>
    <row r="3009" spans="2:3" x14ac:dyDescent="0.2">
      <c r="B3009" t="s">
        <v>8219</v>
      </c>
      <c r="C3009">
        <v>34</v>
      </c>
    </row>
    <row r="3010" spans="2:3" x14ac:dyDescent="0.2">
      <c r="B3010" t="s">
        <v>8219</v>
      </c>
      <c r="C3010">
        <v>34</v>
      </c>
    </row>
    <row r="3011" spans="2:3" x14ac:dyDescent="0.2">
      <c r="B3011" t="s">
        <v>8219</v>
      </c>
      <c r="C3011">
        <v>34</v>
      </c>
    </row>
    <row r="3012" spans="2:3" x14ac:dyDescent="0.2">
      <c r="B3012" t="s">
        <v>8219</v>
      </c>
      <c r="C3012">
        <v>34</v>
      </c>
    </row>
    <row r="3013" spans="2:3" x14ac:dyDescent="0.2">
      <c r="B3013" t="s">
        <v>8219</v>
      </c>
      <c r="C3013">
        <v>34</v>
      </c>
    </row>
    <row r="3014" spans="2:3" x14ac:dyDescent="0.2">
      <c r="B3014" t="s">
        <v>8219</v>
      </c>
      <c r="C3014">
        <v>34</v>
      </c>
    </row>
    <row r="3015" spans="2:3" x14ac:dyDescent="0.2">
      <c r="B3015" t="s">
        <v>8219</v>
      </c>
      <c r="C3015">
        <v>34</v>
      </c>
    </row>
    <row r="3016" spans="2:3" x14ac:dyDescent="0.2">
      <c r="B3016" t="s">
        <v>8219</v>
      </c>
      <c r="C3016">
        <v>34</v>
      </c>
    </row>
    <row r="3017" spans="2:3" x14ac:dyDescent="0.2">
      <c r="B3017" t="s">
        <v>8219</v>
      </c>
      <c r="C3017">
        <v>34</v>
      </c>
    </row>
    <row r="3018" spans="2:3" x14ac:dyDescent="0.2">
      <c r="B3018" t="s">
        <v>8219</v>
      </c>
      <c r="C3018">
        <v>34</v>
      </c>
    </row>
    <row r="3019" spans="2:3" x14ac:dyDescent="0.2">
      <c r="B3019" t="s">
        <v>8219</v>
      </c>
      <c r="C3019">
        <v>34</v>
      </c>
    </row>
    <row r="3020" spans="2:3" x14ac:dyDescent="0.2">
      <c r="B3020" t="s">
        <v>8219</v>
      </c>
      <c r="C3020">
        <v>34</v>
      </c>
    </row>
    <row r="3021" spans="2:3" x14ac:dyDescent="0.2">
      <c r="B3021" t="s">
        <v>8219</v>
      </c>
      <c r="C3021">
        <v>34</v>
      </c>
    </row>
    <row r="3022" spans="2:3" x14ac:dyDescent="0.2">
      <c r="B3022" t="s">
        <v>8219</v>
      </c>
      <c r="C3022">
        <v>34</v>
      </c>
    </row>
    <row r="3023" spans="2:3" x14ac:dyDescent="0.2">
      <c r="B3023" t="s">
        <v>8219</v>
      </c>
      <c r="C3023">
        <v>34</v>
      </c>
    </row>
    <row r="3024" spans="2:3" x14ac:dyDescent="0.2">
      <c r="B3024" t="s">
        <v>8219</v>
      </c>
      <c r="C3024">
        <v>34</v>
      </c>
    </row>
    <row r="3025" spans="2:3" x14ac:dyDescent="0.2">
      <c r="B3025" t="s">
        <v>8219</v>
      </c>
      <c r="C3025">
        <v>34</v>
      </c>
    </row>
    <row r="3026" spans="2:3" x14ac:dyDescent="0.2">
      <c r="B3026" t="s">
        <v>8219</v>
      </c>
      <c r="C3026">
        <v>34</v>
      </c>
    </row>
    <row r="3027" spans="2:3" x14ac:dyDescent="0.2">
      <c r="B3027" t="s">
        <v>8219</v>
      </c>
      <c r="C3027">
        <v>34</v>
      </c>
    </row>
    <row r="3028" spans="2:3" x14ac:dyDescent="0.2">
      <c r="B3028" t="s">
        <v>8219</v>
      </c>
      <c r="C3028">
        <v>34</v>
      </c>
    </row>
    <row r="3029" spans="2:3" x14ac:dyDescent="0.2">
      <c r="B3029" t="s">
        <v>8219</v>
      </c>
      <c r="C3029">
        <v>34</v>
      </c>
    </row>
    <row r="3030" spans="2:3" x14ac:dyDescent="0.2">
      <c r="B3030" t="s">
        <v>8219</v>
      </c>
      <c r="C3030">
        <v>33</v>
      </c>
    </row>
    <row r="3031" spans="2:3" x14ac:dyDescent="0.2">
      <c r="B3031" t="s">
        <v>8219</v>
      </c>
      <c r="C3031">
        <v>33</v>
      </c>
    </row>
    <row r="3032" spans="2:3" x14ac:dyDescent="0.2">
      <c r="B3032" t="s">
        <v>8219</v>
      </c>
      <c r="C3032">
        <v>33</v>
      </c>
    </row>
    <row r="3033" spans="2:3" x14ac:dyDescent="0.2">
      <c r="B3033" t="s">
        <v>8219</v>
      </c>
      <c r="C3033">
        <v>33</v>
      </c>
    </row>
    <row r="3034" spans="2:3" x14ac:dyDescent="0.2">
      <c r="B3034" t="s">
        <v>8219</v>
      </c>
      <c r="C3034">
        <v>33</v>
      </c>
    </row>
    <row r="3035" spans="2:3" x14ac:dyDescent="0.2">
      <c r="B3035" t="s">
        <v>8219</v>
      </c>
      <c r="C3035">
        <v>33</v>
      </c>
    </row>
    <row r="3036" spans="2:3" x14ac:dyDescent="0.2">
      <c r="B3036" t="s">
        <v>8219</v>
      </c>
      <c r="C3036">
        <v>33</v>
      </c>
    </row>
    <row r="3037" spans="2:3" x14ac:dyDescent="0.2">
      <c r="B3037" t="s">
        <v>8219</v>
      </c>
      <c r="C3037">
        <v>33</v>
      </c>
    </row>
    <row r="3038" spans="2:3" x14ac:dyDescent="0.2">
      <c r="B3038" t="s">
        <v>8219</v>
      </c>
      <c r="C3038">
        <v>33</v>
      </c>
    </row>
    <row r="3039" spans="2:3" x14ac:dyDescent="0.2">
      <c r="B3039" t="s">
        <v>8219</v>
      </c>
      <c r="C3039">
        <v>33</v>
      </c>
    </row>
    <row r="3040" spans="2:3" x14ac:dyDescent="0.2">
      <c r="B3040" t="s">
        <v>8219</v>
      </c>
      <c r="C3040">
        <v>33</v>
      </c>
    </row>
    <row r="3041" spans="2:3" x14ac:dyDescent="0.2">
      <c r="B3041" t="s">
        <v>8219</v>
      </c>
      <c r="C3041">
        <v>33</v>
      </c>
    </row>
    <row r="3042" spans="2:3" x14ac:dyDescent="0.2">
      <c r="B3042" t="s">
        <v>8219</v>
      </c>
      <c r="C3042">
        <v>33</v>
      </c>
    </row>
    <row r="3043" spans="2:3" x14ac:dyDescent="0.2">
      <c r="B3043" t="s">
        <v>8219</v>
      </c>
      <c r="C3043">
        <v>33</v>
      </c>
    </row>
    <row r="3044" spans="2:3" x14ac:dyDescent="0.2">
      <c r="B3044" t="s">
        <v>8219</v>
      </c>
      <c r="C3044">
        <v>33</v>
      </c>
    </row>
    <row r="3045" spans="2:3" x14ac:dyDescent="0.2">
      <c r="B3045" t="s">
        <v>8219</v>
      </c>
      <c r="C3045">
        <v>33</v>
      </c>
    </row>
    <row r="3046" spans="2:3" x14ac:dyDescent="0.2">
      <c r="B3046" t="s">
        <v>8219</v>
      </c>
      <c r="C3046">
        <v>33</v>
      </c>
    </row>
    <row r="3047" spans="2:3" x14ac:dyDescent="0.2">
      <c r="B3047" t="s">
        <v>8219</v>
      </c>
      <c r="C3047">
        <v>33</v>
      </c>
    </row>
    <row r="3048" spans="2:3" x14ac:dyDescent="0.2">
      <c r="B3048" t="s">
        <v>8219</v>
      </c>
      <c r="C3048">
        <v>33</v>
      </c>
    </row>
    <row r="3049" spans="2:3" x14ac:dyDescent="0.2">
      <c r="B3049" t="s">
        <v>8219</v>
      </c>
      <c r="C3049">
        <v>33</v>
      </c>
    </row>
    <row r="3050" spans="2:3" x14ac:dyDescent="0.2">
      <c r="B3050" t="s">
        <v>8219</v>
      </c>
      <c r="C3050">
        <v>33</v>
      </c>
    </row>
    <row r="3051" spans="2:3" x14ac:dyDescent="0.2">
      <c r="B3051" t="s">
        <v>8219</v>
      </c>
      <c r="C3051">
        <v>33</v>
      </c>
    </row>
    <row r="3052" spans="2:3" x14ac:dyDescent="0.2">
      <c r="B3052" t="s">
        <v>8219</v>
      </c>
      <c r="C3052">
        <v>33</v>
      </c>
    </row>
    <row r="3053" spans="2:3" hidden="1" x14ac:dyDescent="0.2">
      <c r="B3053" t="s">
        <v>8221</v>
      </c>
      <c r="C3053">
        <v>35</v>
      </c>
    </row>
    <row r="3054" spans="2:3" hidden="1" x14ac:dyDescent="0.2">
      <c r="B3054" t="s">
        <v>8221</v>
      </c>
      <c r="C3054">
        <v>2</v>
      </c>
    </row>
    <row r="3055" spans="2:3" hidden="1" x14ac:dyDescent="0.2">
      <c r="B3055" t="s">
        <v>8221</v>
      </c>
      <c r="C3055">
        <v>3</v>
      </c>
    </row>
    <row r="3056" spans="2:3" hidden="1" x14ac:dyDescent="0.2">
      <c r="B3056" t="s">
        <v>8221</v>
      </c>
      <c r="C3056">
        <v>0</v>
      </c>
    </row>
    <row r="3057" spans="2:3" hidden="1" x14ac:dyDescent="0.2">
      <c r="B3057" t="s">
        <v>8221</v>
      </c>
      <c r="C3057">
        <v>1</v>
      </c>
    </row>
    <row r="3058" spans="2:3" hidden="1" x14ac:dyDescent="0.2">
      <c r="B3058" t="s">
        <v>8221</v>
      </c>
      <c r="C3058">
        <v>0</v>
      </c>
    </row>
    <row r="3059" spans="2:3" hidden="1" x14ac:dyDescent="0.2">
      <c r="B3059" t="s">
        <v>8221</v>
      </c>
      <c r="C3059">
        <v>0</v>
      </c>
    </row>
    <row r="3060" spans="2:3" hidden="1" x14ac:dyDescent="0.2">
      <c r="B3060" t="s">
        <v>8221</v>
      </c>
      <c r="C3060">
        <v>3</v>
      </c>
    </row>
    <row r="3061" spans="2:3" hidden="1" x14ac:dyDescent="0.2">
      <c r="B3061" t="s">
        <v>8221</v>
      </c>
      <c r="C3061">
        <v>11</v>
      </c>
    </row>
    <row r="3062" spans="2:3" hidden="1" x14ac:dyDescent="0.2">
      <c r="B3062" t="s">
        <v>8221</v>
      </c>
      <c r="C3062">
        <v>6</v>
      </c>
    </row>
    <row r="3063" spans="2:3" hidden="1" x14ac:dyDescent="0.2">
      <c r="B3063" t="s">
        <v>8221</v>
      </c>
      <c r="C3063">
        <v>0</v>
      </c>
    </row>
    <row r="3064" spans="2:3" hidden="1" x14ac:dyDescent="0.2">
      <c r="B3064" t="s">
        <v>8221</v>
      </c>
      <c r="C3064">
        <v>67</v>
      </c>
    </row>
    <row r="3065" spans="2:3" hidden="1" x14ac:dyDescent="0.2">
      <c r="B3065" t="s">
        <v>8221</v>
      </c>
      <c r="C3065">
        <v>23</v>
      </c>
    </row>
    <row r="3066" spans="2:3" hidden="1" x14ac:dyDescent="0.2">
      <c r="B3066" t="s">
        <v>8221</v>
      </c>
      <c r="C3066">
        <v>72</v>
      </c>
    </row>
    <row r="3067" spans="2:3" hidden="1" x14ac:dyDescent="0.2">
      <c r="B3067" t="s">
        <v>8221</v>
      </c>
      <c r="C3067">
        <v>2</v>
      </c>
    </row>
    <row r="3068" spans="2:3" hidden="1" x14ac:dyDescent="0.2">
      <c r="B3068" t="s">
        <v>8221</v>
      </c>
      <c r="C3068">
        <v>15</v>
      </c>
    </row>
    <row r="3069" spans="2:3" hidden="1" x14ac:dyDescent="0.2">
      <c r="B3069" t="s">
        <v>8221</v>
      </c>
      <c r="C3069">
        <v>1</v>
      </c>
    </row>
    <row r="3070" spans="2:3" hidden="1" x14ac:dyDescent="0.2">
      <c r="B3070" t="s">
        <v>8221</v>
      </c>
      <c r="C3070">
        <v>2</v>
      </c>
    </row>
    <row r="3071" spans="2:3" hidden="1" x14ac:dyDescent="0.2">
      <c r="B3071" t="s">
        <v>8221</v>
      </c>
      <c r="C3071">
        <v>7</v>
      </c>
    </row>
    <row r="3072" spans="2:3" hidden="1" x14ac:dyDescent="0.2">
      <c r="B3072" t="s">
        <v>8221</v>
      </c>
      <c r="C3072">
        <v>16</v>
      </c>
    </row>
    <row r="3073" spans="2:3" hidden="1" x14ac:dyDescent="0.2">
      <c r="B3073" t="s">
        <v>8221</v>
      </c>
      <c r="C3073">
        <v>117</v>
      </c>
    </row>
    <row r="3074" spans="2:3" hidden="1" x14ac:dyDescent="0.2">
      <c r="B3074" t="s">
        <v>8221</v>
      </c>
      <c r="C3074">
        <v>2</v>
      </c>
    </row>
    <row r="3075" spans="2:3" hidden="1" x14ac:dyDescent="0.2">
      <c r="B3075" t="s">
        <v>8221</v>
      </c>
      <c r="C3075">
        <v>7</v>
      </c>
    </row>
    <row r="3076" spans="2:3" hidden="1" x14ac:dyDescent="0.2">
      <c r="B3076" t="s">
        <v>8221</v>
      </c>
      <c r="C3076">
        <v>3</v>
      </c>
    </row>
    <row r="3077" spans="2:3" hidden="1" x14ac:dyDescent="0.2">
      <c r="B3077" t="s">
        <v>8221</v>
      </c>
      <c r="C3077">
        <v>20</v>
      </c>
    </row>
    <row r="3078" spans="2:3" hidden="1" x14ac:dyDescent="0.2">
      <c r="B3078" t="s">
        <v>8221</v>
      </c>
      <c r="C3078">
        <v>50</v>
      </c>
    </row>
    <row r="3079" spans="2:3" hidden="1" x14ac:dyDescent="0.2">
      <c r="B3079" t="s">
        <v>8221</v>
      </c>
      <c r="C3079">
        <v>2</v>
      </c>
    </row>
    <row r="3080" spans="2:3" hidden="1" x14ac:dyDescent="0.2">
      <c r="B3080" t="s">
        <v>8221</v>
      </c>
      <c r="C3080">
        <v>3</v>
      </c>
    </row>
    <row r="3081" spans="2:3" hidden="1" x14ac:dyDescent="0.2">
      <c r="B3081" t="s">
        <v>8221</v>
      </c>
      <c r="C3081">
        <v>27</v>
      </c>
    </row>
    <row r="3082" spans="2:3" hidden="1" x14ac:dyDescent="0.2">
      <c r="B3082" t="s">
        <v>8221</v>
      </c>
      <c r="C3082">
        <v>7</v>
      </c>
    </row>
    <row r="3083" spans="2:3" hidden="1" x14ac:dyDescent="0.2">
      <c r="B3083" t="s">
        <v>8221</v>
      </c>
      <c r="C3083">
        <v>5</v>
      </c>
    </row>
    <row r="3084" spans="2:3" hidden="1" x14ac:dyDescent="0.2">
      <c r="B3084" t="s">
        <v>8221</v>
      </c>
      <c r="C3084">
        <v>0</v>
      </c>
    </row>
    <row r="3085" spans="2:3" hidden="1" x14ac:dyDescent="0.2">
      <c r="B3085" t="s">
        <v>8221</v>
      </c>
      <c r="C3085">
        <v>3</v>
      </c>
    </row>
    <row r="3086" spans="2:3" hidden="1" x14ac:dyDescent="0.2">
      <c r="B3086" t="s">
        <v>8221</v>
      </c>
      <c r="C3086">
        <v>6</v>
      </c>
    </row>
    <row r="3087" spans="2:3" hidden="1" x14ac:dyDescent="0.2">
      <c r="B3087" t="s">
        <v>8221</v>
      </c>
      <c r="C3087">
        <v>9</v>
      </c>
    </row>
    <row r="3088" spans="2:3" hidden="1" x14ac:dyDescent="0.2">
      <c r="B3088" t="s">
        <v>8221</v>
      </c>
      <c r="C3088">
        <v>3</v>
      </c>
    </row>
    <row r="3089" spans="2:3" hidden="1" x14ac:dyDescent="0.2">
      <c r="B3089" t="s">
        <v>8221</v>
      </c>
      <c r="C3089">
        <v>2</v>
      </c>
    </row>
    <row r="3090" spans="2:3" hidden="1" x14ac:dyDescent="0.2">
      <c r="B3090" t="s">
        <v>8221</v>
      </c>
      <c r="C3090">
        <v>3</v>
      </c>
    </row>
    <row r="3091" spans="2:3" hidden="1" x14ac:dyDescent="0.2">
      <c r="B3091" t="s">
        <v>8221</v>
      </c>
      <c r="C3091">
        <v>45</v>
      </c>
    </row>
    <row r="3092" spans="2:3" hidden="1" x14ac:dyDescent="0.2">
      <c r="B3092" t="s">
        <v>8221</v>
      </c>
      <c r="C3092">
        <v>9</v>
      </c>
    </row>
    <row r="3093" spans="2:3" hidden="1" x14ac:dyDescent="0.2">
      <c r="B3093" t="s">
        <v>8221</v>
      </c>
      <c r="C3093">
        <v>9</v>
      </c>
    </row>
    <row r="3094" spans="2:3" hidden="1" x14ac:dyDescent="0.2">
      <c r="B3094" t="s">
        <v>8221</v>
      </c>
      <c r="C3094">
        <v>21</v>
      </c>
    </row>
    <row r="3095" spans="2:3" hidden="1" x14ac:dyDescent="0.2">
      <c r="B3095" t="s">
        <v>8221</v>
      </c>
      <c r="C3095">
        <v>17</v>
      </c>
    </row>
    <row r="3096" spans="2:3" hidden="1" x14ac:dyDescent="0.2">
      <c r="B3096" t="s">
        <v>8221</v>
      </c>
      <c r="C3096">
        <v>1</v>
      </c>
    </row>
    <row r="3097" spans="2:3" hidden="1" x14ac:dyDescent="0.2">
      <c r="B3097" t="s">
        <v>8221</v>
      </c>
      <c r="C3097">
        <v>1</v>
      </c>
    </row>
    <row r="3098" spans="2:3" hidden="1" x14ac:dyDescent="0.2">
      <c r="B3098" t="s">
        <v>8221</v>
      </c>
      <c r="C3098">
        <v>14</v>
      </c>
    </row>
    <row r="3099" spans="2:3" hidden="1" x14ac:dyDescent="0.2">
      <c r="B3099" t="s">
        <v>8221</v>
      </c>
      <c r="C3099">
        <v>42</v>
      </c>
    </row>
    <row r="3100" spans="2:3" hidden="1" x14ac:dyDescent="0.2">
      <c r="B3100" t="s">
        <v>8221</v>
      </c>
      <c r="C3100">
        <v>27</v>
      </c>
    </row>
    <row r="3101" spans="2:3" hidden="1" x14ac:dyDescent="0.2">
      <c r="B3101" t="s">
        <v>8221</v>
      </c>
      <c r="C3101">
        <v>5</v>
      </c>
    </row>
    <row r="3102" spans="2:3" hidden="1" x14ac:dyDescent="0.2">
      <c r="B3102" t="s">
        <v>8221</v>
      </c>
      <c r="C3102">
        <v>13</v>
      </c>
    </row>
    <row r="3103" spans="2:3" hidden="1" x14ac:dyDescent="0.2">
      <c r="B3103" t="s">
        <v>8221</v>
      </c>
      <c r="C3103">
        <v>12</v>
      </c>
    </row>
    <row r="3104" spans="2:3" hidden="1" x14ac:dyDescent="0.2">
      <c r="B3104" t="s">
        <v>8221</v>
      </c>
      <c r="C3104">
        <v>90</v>
      </c>
    </row>
    <row r="3105" spans="2:3" hidden="1" x14ac:dyDescent="0.2">
      <c r="B3105" t="s">
        <v>8221</v>
      </c>
      <c r="C3105">
        <v>2</v>
      </c>
    </row>
    <row r="3106" spans="2:3" hidden="1" x14ac:dyDescent="0.2">
      <c r="B3106" t="s">
        <v>8221</v>
      </c>
      <c r="C3106">
        <v>5</v>
      </c>
    </row>
    <row r="3107" spans="2:3" hidden="1" x14ac:dyDescent="0.2">
      <c r="B3107" t="s">
        <v>8221</v>
      </c>
      <c r="C3107">
        <v>31</v>
      </c>
    </row>
    <row r="3108" spans="2:3" hidden="1" x14ac:dyDescent="0.2">
      <c r="B3108" t="s">
        <v>8221</v>
      </c>
      <c r="C3108">
        <v>4</v>
      </c>
    </row>
    <row r="3109" spans="2:3" hidden="1" x14ac:dyDescent="0.2">
      <c r="B3109" t="s">
        <v>8221</v>
      </c>
      <c r="C3109">
        <v>29</v>
      </c>
    </row>
    <row r="3110" spans="2:3" hidden="1" x14ac:dyDescent="0.2">
      <c r="B3110" t="s">
        <v>8221</v>
      </c>
      <c r="C3110">
        <v>2</v>
      </c>
    </row>
    <row r="3111" spans="2:3" hidden="1" x14ac:dyDescent="0.2">
      <c r="B3111" t="s">
        <v>8221</v>
      </c>
      <c r="C3111">
        <v>114</v>
      </c>
    </row>
    <row r="3112" spans="2:3" hidden="1" x14ac:dyDescent="0.2">
      <c r="B3112" t="s">
        <v>8221</v>
      </c>
      <c r="C3112">
        <v>1</v>
      </c>
    </row>
    <row r="3113" spans="2:3" hidden="1" x14ac:dyDescent="0.2">
      <c r="B3113" t="s">
        <v>8221</v>
      </c>
      <c r="C3113">
        <v>76</v>
      </c>
    </row>
    <row r="3114" spans="2:3" hidden="1" x14ac:dyDescent="0.2">
      <c r="B3114" t="s">
        <v>8221</v>
      </c>
      <c r="C3114">
        <v>9</v>
      </c>
    </row>
    <row r="3115" spans="2:3" hidden="1" x14ac:dyDescent="0.2">
      <c r="B3115" t="s">
        <v>8221</v>
      </c>
      <c r="C3115">
        <v>37</v>
      </c>
    </row>
    <row r="3116" spans="2:3" hidden="1" x14ac:dyDescent="0.2">
      <c r="B3116" t="s">
        <v>8221</v>
      </c>
      <c r="C3116">
        <v>0</v>
      </c>
    </row>
    <row r="3117" spans="2:3" hidden="1" x14ac:dyDescent="0.2">
      <c r="B3117" t="s">
        <v>8221</v>
      </c>
      <c r="C3117">
        <v>1</v>
      </c>
    </row>
    <row r="3118" spans="2:3" hidden="1" x14ac:dyDescent="0.2">
      <c r="B3118" t="s">
        <v>8221</v>
      </c>
      <c r="C3118">
        <v>10</v>
      </c>
    </row>
    <row r="3119" spans="2:3" hidden="1" x14ac:dyDescent="0.2">
      <c r="B3119" t="s">
        <v>8221</v>
      </c>
      <c r="C3119">
        <v>1</v>
      </c>
    </row>
    <row r="3120" spans="2:3" hidden="1" x14ac:dyDescent="0.2">
      <c r="B3120" t="s">
        <v>8221</v>
      </c>
      <c r="C3120">
        <v>2</v>
      </c>
    </row>
    <row r="3121" spans="2:3" hidden="1" x14ac:dyDescent="0.2">
      <c r="B3121" t="s">
        <v>8221</v>
      </c>
      <c r="C3121">
        <v>1</v>
      </c>
    </row>
    <row r="3122" spans="2:3" hidden="1" x14ac:dyDescent="0.2">
      <c r="B3122" t="s">
        <v>8221</v>
      </c>
      <c r="C3122">
        <v>10</v>
      </c>
    </row>
    <row r="3123" spans="2:3" hidden="1" x14ac:dyDescent="0.2">
      <c r="B3123" t="s">
        <v>8220</v>
      </c>
      <c r="C3123">
        <v>1</v>
      </c>
    </row>
    <row r="3124" spans="2:3" hidden="1" x14ac:dyDescent="0.2">
      <c r="B3124" t="s">
        <v>8220</v>
      </c>
      <c r="C3124">
        <v>2</v>
      </c>
    </row>
    <row r="3125" spans="2:3" hidden="1" x14ac:dyDescent="0.2">
      <c r="B3125" t="s">
        <v>8220</v>
      </c>
      <c r="C3125">
        <v>348</v>
      </c>
    </row>
    <row r="3126" spans="2:3" hidden="1" x14ac:dyDescent="0.2">
      <c r="B3126" t="s">
        <v>8220</v>
      </c>
      <c r="C3126">
        <v>4</v>
      </c>
    </row>
    <row r="3127" spans="2:3" hidden="1" x14ac:dyDescent="0.2">
      <c r="B3127" t="s">
        <v>8220</v>
      </c>
      <c r="C3127">
        <v>0</v>
      </c>
    </row>
    <row r="3128" spans="2:3" hidden="1" x14ac:dyDescent="0.2">
      <c r="B3128" t="s">
        <v>8220</v>
      </c>
      <c r="C3128">
        <v>17</v>
      </c>
    </row>
    <row r="3129" spans="2:3" hidden="1" x14ac:dyDescent="0.2">
      <c r="B3129" t="s">
        <v>8220</v>
      </c>
      <c r="C3129">
        <v>0</v>
      </c>
    </row>
    <row r="3130" spans="2:3" hidden="1" x14ac:dyDescent="0.2">
      <c r="B3130" t="s">
        <v>8222</v>
      </c>
      <c r="C3130">
        <v>117</v>
      </c>
    </row>
    <row r="3131" spans="2:3" hidden="1" x14ac:dyDescent="0.2">
      <c r="B3131" t="s">
        <v>8222</v>
      </c>
      <c r="C3131">
        <v>1</v>
      </c>
    </row>
    <row r="3132" spans="2:3" hidden="1" x14ac:dyDescent="0.2">
      <c r="B3132" t="s">
        <v>8222</v>
      </c>
      <c r="C3132">
        <v>4</v>
      </c>
    </row>
    <row r="3133" spans="2:3" hidden="1" x14ac:dyDescent="0.2">
      <c r="B3133" t="s">
        <v>8222</v>
      </c>
      <c r="C3133">
        <v>12</v>
      </c>
    </row>
    <row r="3134" spans="2:3" hidden="1" x14ac:dyDescent="0.2">
      <c r="B3134" t="s">
        <v>8222</v>
      </c>
      <c r="C3134">
        <v>1</v>
      </c>
    </row>
    <row r="3135" spans="2:3" hidden="1" x14ac:dyDescent="0.2">
      <c r="B3135" t="s">
        <v>8222</v>
      </c>
      <c r="C3135">
        <v>16</v>
      </c>
    </row>
    <row r="3136" spans="2:3" hidden="1" x14ac:dyDescent="0.2">
      <c r="B3136" t="s">
        <v>8222</v>
      </c>
      <c r="C3136">
        <v>12</v>
      </c>
    </row>
    <row r="3137" spans="2:3" hidden="1" x14ac:dyDescent="0.2">
      <c r="B3137" t="s">
        <v>8222</v>
      </c>
      <c r="C3137">
        <v>7</v>
      </c>
    </row>
    <row r="3138" spans="2:3" hidden="1" x14ac:dyDescent="0.2">
      <c r="B3138" t="s">
        <v>8222</v>
      </c>
      <c r="C3138">
        <v>22</v>
      </c>
    </row>
    <row r="3139" spans="2:3" hidden="1" x14ac:dyDescent="0.2">
      <c r="B3139" t="s">
        <v>8222</v>
      </c>
      <c r="C3139">
        <v>1</v>
      </c>
    </row>
    <row r="3140" spans="2:3" hidden="1" x14ac:dyDescent="0.2">
      <c r="B3140" t="s">
        <v>8222</v>
      </c>
      <c r="C3140">
        <v>0</v>
      </c>
    </row>
    <row r="3141" spans="2:3" hidden="1" x14ac:dyDescent="0.2">
      <c r="B3141" t="s">
        <v>8222</v>
      </c>
      <c r="C3141">
        <v>6</v>
      </c>
    </row>
    <row r="3142" spans="2:3" hidden="1" x14ac:dyDescent="0.2">
      <c r="B3142" t="s">
        <v>8222</v>
      </c>
      <c r="C3142">
        <v>4</v>
      </c>
    </row>
    <row r="3143" spans="2:3" hidden="1" x14ac:dyDescent="0.2">
      <c r="B3143" t="s">
        <v>8222</v>
      </c>
      <c r="C3143">
        <v>8</v>
      </c>
    </row>
    <row r="3144" spans="2:3" hidden="1" x14ac:dyDescent="0.2">
      <c r="B3144" t="s">
        <v>8222</v>
      </c>
      <c r="C3144">
        <v>3</v>
      </c>
    </row>
    <row r="3145" spans="2:3" hidden="1" x14ac:dyDescent="0.2">
      <c r="B3145" t="s">
        <v>8222</v>
      </c>
      <c r="C3145">
        <v>0</v>
      </c>
    </row>
    <row r="3146" spans="2:3" hidden="1" x14ac:dyDescent="0.2">
      <c r="B3146" t="s">
        <v>8222</v>
      </c>
      <c r="C3146">
        <v>30</v>
      </c>
    </row>
    <row r="3147" spans="2:3" hidden="1" x14ac:dyDescent="0.2">
      <c r="B3147" t="s">
        <v>8222</v>
      </c>
      <c r="C3147">
        <v>0</v>
      </c>
    </row>
    <row r="3148" spans="2:3" hidden="1" x14ac:dyDescent="0.2">
      <c r="B3148" t="s">
        <v>8222</v>
      </c>
      <c r="C3148">
        <v>12</v>
      </c>
    </row>
    <row r="3149" spans="2:3" x14ac:dyDescent="0.2">
      <c r="B3149" t="s">
        <v>8219</v>
      </c>
      <c r="C3149">
        <v>33</v>
      </c>
    </row>
    <row r="3150" spans="2:3" x14ac:dyDescent="0.2">
      <c r="B3150" t="s">
        <v>8219</v>
      </c>
      <c r="C3150">
        <v>32</v>
      </c>
    </row>
    <row r="3151" spans="2:3" x14ac:dyDescent="0.2">
      <c r="B3151" t="s">
        <v>8219</v>
      </c>
      <c r="C3151">
        <v>32</v>
      </c>
    </row>
    <row r="3152" spans="2:3" x14ac:dyDescent="0.2">
      <c r="B3152" t="s">
        <v>8219</v>
      </c>
      <c r="C3152">
        <v>32</v>
      </c>
    </row>
    <row r="3153" spans="2:3" x14ac:dyDescent="0.2">
      <c r="B3153" t="s">
        <v>8219</v>
      </c>
      <c r="C3153">
        <v>32</v>
      </c>
    </row>
    <row r="3154" spans="2:3" x14ac:dyDescent="0.2">
      <c r="B3154" t="s">
        <v>8219</v>
      </c>
      <c r="C3154">
        <v>32</v>
      </c>
    </row>
    <row r="3155" spans="2:3" x14ac:dyDescent="0.2">
      <c r="B3155" t="s">
        <v>8219</v>
      </c>
      <c r="C3155">
        <v>32</v>
      </c>
    </row>
    <row r="3156" spans="2:3" x14ac:dyDescent="0.2">
      <c r="B3156" t="s">
        <v>8219</v>
      </c>
      <c r="C3156">
        <v>32</v>
      </c>
    </row>
    <row r="3157" spans="2:3" x14ac:dyDescent="0.2">
      <c r="B3157" t="s">
        <v>8219</v>
      </c>
      <c r="C3157">
        <v>32</v>
      </c>
    </row>
    <row r="3158" spans="2:3" x14ac:dyDescent="0.2">
      <c r="B3158" t="s">
        <v>8219</v>
      </c>
      <c r="C3158">
        <v>32</v>
      </c>
    </row>
    <row r="3159" spans="2:3" x14ac:dyDescent="0.2">
      <c r="B3159" t="s">
        <v>8219</v>
      </c>
      <c r="C3159">
        <v>32</v>
      </c>
    </row>
    <row r="3160" spans="2:3" x14ac:dyDescent="0.2">
      <c r="B3160" t="s">
        <v>8219</v>
      </c>
      <c r="C3160">
        <v>32</v>
      </c>
    </row>
    <row r="3161" spans="2:3" x14ac:dyDescent="0.2">
      <c r="B3161" t="s">
        <v>8219</v>
      </c>
      <c r="C3161">
        <v>32</v>
      </c>
    </row>
    <row r="3162" spans="2:3" x14ac:dyDescent="0.2">
      <c r="B3162" t="s">
        <v>8219</v>
      </c>
      <c r="C3162">
        <v>32</v>
      </c>
    </row>
    <row r="3163" spans="2:3" x14ac:dyDescent="0.2">
      <c r="B3163" t="s">
        <v>8219</v>
      </c>
      <c r="C3163">
        <v>32</v>
      </c>
    </row>
    <row r="3164" spans="2:3" x14ac:dyDescent="0.2">
      <c r="B3164" t="s">
        <v>8219</v>
      </c>
      <c r="C3164">
        <v>32</v>
      </c>
    </row>
    <row r="3165" spans="2:3" x14ac:dyDescent="0.2">
      <c r="B3165" t="s">
        <v>8219</v>
      </c>
      <c r="C3165">
        <v>32</v>
      </c>
    </row>
    <row r="3166" spans="2:3" x14ac:dyDescent="0.2">
      <c r="B3166" t="s">
        <v>8219</v>
      </c>
      <c r="C3166">
        <v>32</v>
      </c>
    </row>
    <row r="3167" spans="2:3" x14ac:dyDescent="0.2">
      <c r="B3167" t="s">
        <v>8219</v>
      </c>
      <c r="C3167">
        <v>32</v>
      </c>
    </row>
    <row r="3168" spans="2:3" x14ac:dyDescent="0.2">
      <c r="B3168" t="s">
        <v>8219</v>
      </c>
      <c r="C3168">
        <v>32</v>
      </c>
    </row>
    <row r="3169" spans="2:3" x14ac:dyDescent="0.2">
      <c r="B3169" t="s">
        <v>8219</v>
      </c>
      <c r="C3169">
        <v>31</v>
      </c>
    </row>
    <row r="3170" spans="2:3" x14ac:dyDescent="0.2">
      <c r="B3170" t="s">
        <v>8219</v>
      </c>
      <c r="C3170">
        <v>31</v>
      </c>
    </row>
    <row r="3171" spans="2:3" x14ac:dyDescent="0.2">
      <c r="B3171" t="s">
        <v>8219</v>
      </c>
      <c r="C3171">
        <v>31</v>
      </c>
    </row>
    <row r="3172" spans="2:3" x14ac:dyDescent="0.2">
      <c r="B3172" t="s">
        <v>8219</v>
      </c>
      <c r="C3172">
        <v>31</v>
      </c>
    </row>
    <row r="3173" spans="2:3" x14ac:dyDescent="0.2">
      <c r="B3173" t="s">
        <v>8219</v>
      </c>
      <c r="C3173">
        <v>31</v>
      </c>
    </row>
    <row r="3174" spans="2:3" x14ac:dyDescent="0.2">
      <c r="B3174" t="s">
        <v>8219</v>
      </c>
      <c r="C3174">
        <v>31</v>
      </c>
    </row>
    <row r="3175" spans="2:3" x14ac:dyDescent="0.2">
      <c r="B3175" t="s">
        <v>8219</v>
      </c>
      <c r="C3175">
        <v>31</v>
      </c>
    </row>
    <row r="3176" spans="2:3" x14ac:dyDescent="0.2">
      <c r="B3176" t="s">
        <v>8219</v>
      </c>
      <c r="C3176">
        <v>31</v>
      </c>
    </row>
    <row r="3177" spans="2:3" x14ac:dyDescent="0.2">
      <c r="B3177" t="s">
        <v>8219</v>
      </c>
      <c r="C3177">
        <v>31</v>
      </c>
    </row>
    <row r="3178" spans="2:3" x14ac:dyDescent="0.2">
      <c r="B3178" t="s">
        <v>8219</v>
      </c>
      <c r="C3178">
        <v>31</v>
      </c>
    </row>
    <row r="3179" spans="2:3" x14ac:dyDescent="0.2">
      <c r="B3179" t="s">
        <v>8219</v>
      </c>
      <c r="C3179">
        <v>31</v>
      </c>
    </row>
    <row r="3180" spans="2:3" x14ac:dyDescent="0.2">
      <c r="B3180" t="s">
        <v>8219</v>
      </c>
      <c r="C3180">
        <v>31</v>
      </c>
    </row>
    <row r="3181" spans="2:3" x14ac:dyDescent="0.2">
      <c r="B3181" t="s">
        <v>8219</v>
      </c>
      <c r="C3181">
        <v>31</v>
      </c>
    </row>
    <row r="3182" spans="2:3" x14ac:dyDescent="0.2">
      <c r="B3182" t="s">
        <v>8219</v>
      </c>
      <c r="C3182">
        <v>31</v>
      </c>
    </row>
    <row r="3183" spans="2:3" x14ac:dyDescent="0.2">
      <c r="B3183" t="s">
        <v>8219</v>
      </c>
      <c r="C3183">
        <v>31</v>
      </c>
    </row>
    <row r="3184" spans="2:3" x14ac:dyDescent="0.2">
      <c r="B3184" t="s">
        <v>8219</v>
      </c>
      <c r="C3184">
        <v>31</v>
      </c>
    </row>
    <row r="3185" spans="2:3" x14ac:dyDescent="0.2">
      <c r="B3185" t="s">
        <v>8219</v>
      </c>
      <c r="C3185">
        <v>31</v>
      </c>
    </row>
    <row r="3186" spans="2:3" x14ac:dyDescent="0.2">
      <c r="B3186" t="s">
        <v>8219</v>
      </c>
      <c r="C3186">
        <v>31</v>
      </c>
    </row>
    <row r="3187" spans="2:3" x14ac:dyDescent="0.2">
      <c r="B3187" t="s">
        <v>8219</v>
      </c>
      <c r="C3187">
        <v>31</v>
      </c>
    </row>
    <row r="3188" spans="2:3" x14ac:dyDescent="0.2">
      <c r="B3188" t="s">
        <v>8219</v>
      </c>
      <c r="C3188">
        <v>31</v>
      </c>
    </row>
    <row r="3189" spans="2:3" x14ac:dyDescent="0.2">
      <c r="B3189" t="s">
        <v>8219</v>
      </c>
      <c r="C3189">
        <v>30</v>
      </c>
    </row>
    <row r="3190" spans="2:3" hidden="1" x14ac:dyDescent="0.2">
      <c r="B3190" t="s">
        <v>8221</v>
      </c>
      <c r="C3190">
        <v>9</v>
      </c>
    </row>
    <row r="3191" spans="2:3" hidden="1" x14ac:dyDescent="0.2">
      <c r="B3191" t="s">
        <v>8221</v>
      </c>
      <c r="C3191">
        <v>19</v>
      </c>
    </row>
    <row r="3192" spans="2:3" hidden="1" x14ac:dyDescent="0.2">
      <c r="B3192" t="s">
        <v>8221</v>
      </c>
      <c r="C3192">
        <v>0</v>
      </c>
    </row>
    <row r="3193" spans="2:3" hidden="1" x14ac:dyDescent="0.2">
      <c r="B3193" t="s">
        <v>8221</v>
      </c>
      <c r="C3193">
        <v>4</v>
      </c>
    </row>
    <row r="3194" spans="2:3" hidden="1" x14ac:dyDescent="0.2">
      <c r="B3194" t="s">
        <v>8221</v>
      </c>
      <c r="C3194">
        <v>8</v>
      </c>
    </row>
    <row r="3195" spans="2:3" hidden="1" x14ac:dyDescent="0.2">
      <c r="B3195" t="s">
        <v>8221</v>
      </c>
      <c r="C3195">
        <v>24</v>
      </c>
    </row>
    <row r="3196" spans="2:3" hidden="1" x14ac:dyDescent="0.2">
      <c r="B3196" t="s">
        <v>8221</v>
      </c>
      <c r="C3196">
        <v>0</v>
      </c>
    </row>
    <row r="3197" spans="2:3" hidden="1" x14ac:dyDescent="0.2">
      <c r="B3197" t="s">
        <v>8221</v>
      </c>
      <c r="C3197">
        <v>39</v>
      </c>
    </row>
    <row r="3198" spans="2:3" hidden="1" x14ac:dyDescent="0.2">
      <c r="B3198" t="s">
        <v>8221</v>
      </c>
      <c r="C3198">
        <v>6</v>
      </c>
    </row>
    <row r="3199" spans="2:3" hidden="1" x14ac:dyDescent="0.2">
      <c r="B3199" t="s">
        <v>8221</v>
      </c>
      <c r="C3199">
        <v>4</v>
      </c>
    </row>
    <row r="3200" spans="2:3" hidden="1" x14ac:dyDescent="0.2">
      <c r="B3200" t="s">
        <v>8221</v>
      </c>
      <c r="C3200">
        <v>3</v>
      </c>
    </row>
    <row r="3201" spans="2:3" hidden="1" x14ac:dyDescent="0.2">
      <c r="B3201" t="s">
        <v>8221</v>
      </c>
      <c r="C3201">
        <v>53</v>
      </c>
    </row>
    <row r="3202" spans="2:3" hidden="1" x14ac:dyDescent="0.2">
      <c r="B3202" t="s">
        <v>8221</v>
      </c>
      <c r="C3202">
        <v>1</v>
      </c>
    </row>
    <row r="3203" spans="2:3" hidden="1" x14ac:dyDescent="0.2">
      <c r="B3203" t="s">
        <v>8221</v>
      </c>
      <c r="C3203">
        <v>2</v>
      </c>
    </row>
    <row r="3204" spans="2:3" hidden="1" x14ac:dyDescent="0.2">
      <c r="B3204" t="s">
        <v>8221</v>
      </c>
      <c r="C3204">
        <v>25</v>
      </c>
    </row>
    <row r="3205" spans="2:3" hidden="1" x14ac:dyDescent="0.2">
      <c r="B3205" t="s">
        <v>8221</v>
      </c>
      <c r="C3205">
        <v>6</v>
      </c>
    </row>
    <row r="3206" spans="2:3" hidden="1" x14ac:dyDescent="0.2">
      <c r="B3206" t="s">
        <v>8221</v>
      </c>
      <c r="C3206">
        <v>0</v>
      </c>
    </row>
    <row r="3207" spans="2:3" hidden="1" x14ac:dyDescent="0.2">
      <c r="B3207" t="s">
        <v>8221</v>
      </c>
      <c r="C3207">
        <v>12</v>
      </c>
    </row>
    <row r="3208" spans="2:3" hidden="1" x14ac:dyDescent="0.2">
      <c r="B3208" t="s">
        <v>8221</v>
      </c>
      <c r="C3208">
        <v>0</v>
      </c>
    </row>
    <row r="3209" spans="2:3" hidden="1" x14ac:dyDescent="0.2">
      <c r="B3209" t="s">
        <v>8221</v>
      </c>
      <c r="C3209">
        <v>36</v>
      </c>
    </row>
    <row r="3210" spans="2:3" x14ac:dyDescent="0.2">
      <c r="B3210" t="s">
        <v>8219</v>
      </c>
      <c r="C3210">
        <v>30</v>
      </c>
    </row>
    <row r="3211" spans="2:3" x14ac:dyDescent="0.2">
      <c r="B3211" t="s">
        <v>8219</v>
      </c>
      <c r="C3211">
        <v>30</v>
      </c>
    </row>
    <row r="3212" spans="2:3" x14ac:dyDescent="0.2">
      <c r="B3212" t="s">
        <v>8219</v>
      </c>
      <c r="C3212">
        <v>30</v>
      </c>
    </row>
    <row r="3213" spans="2:3" x14ac:dyDescent="0.2">
      <c r="B3213" t="s">
        <v>8219</v>
      </c>
      <c r="C3213">
        <v>30</v>
      </c>
    </row>
    <row r="3214" spans="2:3" x14ac:dyDescent="0.2">
      <c r="B3214" t="s">
        <v>8219</v>
      </c>
      <c r="C3214">
        <v>30</v>
      </c>
    </row>
    <row r="3215" spans="2:3" x14ac:dyDescent="0.2">
      <c r="B3215" t="s">
        <v>8219</v>
      </c>
      <c r="C3215">
        <v>30</v>
      </c>
    </row>
    <row r="3216" spans="2:3" x14ac:dyDescent="0.2">
      <c r="B3216" t="s">
        <v>8219</v>
      </c>
      <c r="C3216">
        <v>30</v>
      </c>
    </row>
    <row r="3217" spans="2:3" x14ac:dyDescent="0.2">
      <c r="B3217" t="s">
        <v>8219</v>
      </c>
      <c r="C3217">
        <v>30</v>
      </c>
    </row>
    <row r="3218" spans="2:3" x14ac:dyDescent="0.2">
      <c r="B3218" t="s">
        <v>8219</v>
      </c>
      <c r="C3218">
        <v>30</v>
      </c>
    </row>
    <row r="3219" spans="2:3" x14ac:dyDescent="0.2">
      <c r="B3219" t="s">
        <v>8219</v>
      </c>
      <c r="C3219">
        <v>30</v>
      </c>
    </row>
    <row r="3220" spans="2:3" x14ac:dyDescent="0.2">
      <c r="B3220" t="s">
        <v>8219</v>
      </c>
      <c r="C3220">
        <v>30</v>
      </c>
    </row>
    <row r="3221" spans="2:3" x14ac:dyDescent="0.2">
      <c r="B3221" t="s">
        <v>8219</v>
      </c>
      <c r="C3221">
        <v>30</v>
      </c>
    </row>
    <row r="3222" spans="2:3" x14ac:dyDescent="0.2">
      <c r="B3222" t="s">
        <v>8219</v>
      </c>
      <c r="C3222">
        <v>30</v>
      </c>
    </row>
    <row r="3223" spans="2:3" x14ac:dyDescent="0.2">
      <c r="B3223" t="s">
        <v>8219</v>
      </c>
      <c r="C3223">
        <v>30</v>
      </c>
    </row>
    <row r="3224" spans="2:3" x14ac:dyDescent="0.2">
      <c r="B3224" t="s">
        <v>8219</v>
      </c>
      <c r="C3224">
        <v>30</v>
      </c>
    </row>
    <row r="3225" spans="2:3" x14ac:dyDescent="0.2">
      <c r="B3225" t="s">
        <v>8219</v>
      </c>
      <c r="C3225">
        <v>30</v>
      </c>
    </row>
    <row r="3226" spans="2:3" x14ac:dyDescent="0.2">
      <c r="B3226" t="s">
        <v>8219</v>
      </c>
      <c r="C3226">
        <v>30</v>
      </c>
    </row>
    <row r="3227" spans="2:3" x14ac:dyDescent="0.2">
      <c r="B3227" t="s">
        <v>8219</v>
      </c>
      <c r="C3227">
        <v>30</v>
      </c>
    </row>
    <row r="3228" spans="2:3" x14ac:dyDescent="0.2">
      <c r="B3228" t="s">
        <v>8219</v>
      </c>
      <c r="C3228">
        <v>30</v>
      </c>
    </row>
    <row r="3229" spans="2:3" x14ac:dyDescent="0.2">
      <c r="B3229" t="s">
        <v>8219</v>
      </c>
      <c r="C3229">
        <v>30</v>
      </c>
    </row>
    <row r="3230" spans="2:3" x14ac:dyDescent="0.2">
      <c r="B3230" t="s">
        <v>8219</v>
      </c>
      <c r="C3230">
        <v>30</v>
      </c>
    </row>
    <row r="3231" spans="2:3" x14ac:dyDescent="0.2">
      <c r="B3231" t="s">
        <v>8219</v>
      </c>
      <c r="C3231">
        <v>30</v>
      </c>
    </row>
    <row r="3232" spans="2:3" x14ac:dyDescent="0.2">
      <c r="B3232" t="s">
        <v>8219</v>
      </c>
      <c r="C3232">
        <v>30</v>
      </c>
    </row>
    <row r="3233" spans="2:3" x14ac:dyDescent="0.2">
      <c r="B3233" t="s">
        <v>8219</v>
      </c>
      <c r="C3233">
        <v>29</v>
      </c>
    </row>
    <row r="3234" spans="2:3" x14ac:dyDescent="0.2">
      <c r="B3234" t="s">
        <v>8219</v>
      </c>
      <c r="C3234">
        <v>29</v>
      </c>
    </row>
    <row r="3235" spans="2:3" x14ac:dyDescent="0.2">
      <c r="B3235" t="s">
        <v>8219</v>
      </c>
      <c r="C3235">
        <v>29</v>
      </c>
    </row>
    <row r="3236" spans="2:3" x14ac:dyDescent="0.2">
      <c r="B3236" t="s">
        <v>8219</v>
      </c>
      <c r="C3236">
        <v>29</v>
      </c>
    </row>
    <row r="3237" spans="2:3" x14ac:dyDescent="0.2">
      <c r="B3237" t="s">
        <v>8219</v>
      </c>
      <c r="C3237">
        <v>29</v>
      </c>
    </row>
    <row r="3238" spans="2:3" x14ac:dyDescent="0.2">
      <c r="B3238" t="s">
        <v>8219</v>
      </c>
      <c r="C3238">
        <v>29</v>
      </c>
    </row>
    <row r="3239" spans="2:3" x14ac:dyDescent="0.2">
      <c r="B3239" t="s">
        <v>8219</v>
      </c>
      <c r="C3239">
        <v>29</v>
      </c>
    </row>
    <row r="3240" spans="2:3" x14ac:dyDescent="0.2">
      <c r="B3240" t="s">
        <v>8219</v>
      </c>
      <c r="C3240">
        <v>29</v>
      </c>
    </row>
    <row r="3241" spans="2:3" x14ac:dyDescent="0.2">
      <c r="B3241" t="s">
        <v>8219</v>
      </c>
      <c r="C3241">
        <v>29</v>
      </c>
    </row>
    <row r="3242" spans="2:3" x14ac:dyDescent="0.2">
      <c r="B3242" t="s">
        <v>8219</v>
      </c>
      <c r="C3242">
        <v>29</v>
      </c>
    </row>
    <row r="3243" spans="2:3" x14ac:dyDescent="0.2">
      <c r="B3243" t="s">
        <v>8219</v>
      </c>
      <c r="C3243">
        <v>29</v>
      </c>
    </row>
    <row r="3244" spans="2:3" x14ac:dyDescent="0.2">
      <c r="B3244" t="s">
        <v>8219</v>
      </c>
      <c r="C3244">
        <v>29</v>
      </c>
    </row>
    <row r="3245" spans="2:3" x14ac:dyDescent="0.2">
      <c r="B3245" t="s">
        <v>8219</v>
      </c>
      <c r="C3245">
        <v>29</v>
      </c>
    </row>
    <row r="3246" spans="2:3" x14ac:dyDescent="0.2">
      <c r="B3246" t="s">
        <v>8219</v>
      </c>
      <c r="C3246">
        <v>29</v>
      </c>
    </row>
    <row r="3247" spans="2:3" x14ac:dyDescent="0.2">
      <c r="B3247" t="s">
        <v>8219</v>
      </c>
      <c r="C3247">
        <v>29</v>
      </c>
    </row>
    <row r="3248" spans="2:3" x14ac:dyDescent="0.2">
      <c r="B3248" t="s">
        <v>8219</v>
      </c>
      <c r="C3248">
        <v>29</v>
      </c>
    </row>
    <row r="3249" spans="2:3" x14ac:dyDescent="0.2">
      <c r="B3249" t="s">
        <v>8219</v>
      </c>
      <c r="C3249">
        <v>29</v>
      </c>
    </row>
    <row r="3250" spans="2:3" x14ac:dyDescent="0.2">
      <c r="B3250" t="s">
        <v>8219</v>
      </c>
      <c r="C3250">
        <v>29</v>
      </c>
    </row>
    <row r="3251" spans="2:3" x14ac:dyDescent="0.2">
      <c r="B3251" t="s">
        <v>8219</v>
      </c>
      <c r="C3251">
        <v>28</v>
      </c>
    </row>
    <row r="3252" spans="2:3" x14ac:dyDescent="0.2">
      <c r="B3252" t="s">
        <v>8219</v>
      </c>
      <c r="C3252">
        <v>28</v>
      </c>
    </row>
    <row r="3253" spans="2:3" x14ac:dyDescent="0.2">
      <c r="B3253" t="s">
        <v>8219</v>
      </c>
      <c r="C3253">
        <v>28</v>
      </c>
    </row>
    <row r="3254" spans="2:3" x14ac:dyDescent="0.2">
      <c r="B3254" t="s">
        <v>8219</v>
      </c>
      <c r="C3254">
        <v>28</v>
      </c>
    </row>
    <row r="3255" spans="2:3" x14ac:dyDescent="0.2">
      <c r="B3255" t="s">
        <v>8219</v>
      </c>
      <c r="C3255">
        <v>28</v>
      </c>
    </row>
    <row r="3256" spans="2:3" x14ac:dyDescent="0.2">
      <c r="B3256" t="s">
        <v>8219</v>
      </c>
      <c r="C3256">
        <v>28</v>
      </c>
    </row>
    <row r="3257" spans="2:3" x14ac:dyDescent="0.2">
      <c r="B3257" t="s">
        <v>8219</v>
      </c>
      <c r="C3257">
        <v>28</v>
      </c>
    </row>
    <row r="3258" spans="2:3" x14ac:dyDescent="0.2">
      <c r="B3258" t="s">
        <v>8219</v>
      </c>
      <c r="C3258">
        <v>28</v>
      </c>
    </row>
    <row r="3259" spans="2:3" x14ac:dyDescent="0.2">
      <c r="B3259" t="s">
        <v>8219</v>
      </c>
      <c r="C3259">
        <v>28</v>
      </c>
    </row>
    <row r="3260" spans="2:3" x14ac:dyDescent="0.2">
      <c r="B3260" t="s">
        <v>8219</v>
      </c>
      <c r="C3260">
        <v>28</v>
      </c>
    </row>
    <row r="3261" spans="2:3" x14ac:dyDescent="0.2">
      <c r="B3261" t="s">
        <v>8219</v>
      </c>
      <c r="C3261">
        <v>28</v>
      </c>
    </row>
    <row r="3262" spans="2:3" x14ac:dyDescent="0.2">
      <c r="B3262" t="s">
        <v>8219</v>
      </c>
      <c r="C3262">
        <v>28</v>
      </c>
    </row>
    <row r="3263" spans="2:3" x14ac:dyDescent="0.2">
      <c r="B3263" t="s">
        <v>8219</v>
      </c>
      <c r="C3263">
        <v>28</v>
      </c>
    </row>
    <row r="3264" spans="2:3" x14ac:dyDescent="0.2">
      <c r="B3264" t="s">
        <v>8219</v>
      </c>
      <c r="C3264">
        <v>28</v>
      </c>
    </row>
    <row r="3265" spans="2:3" x14ac:dyDescent="0.2">
      <c r="B3265" t="s">
        <v>8219</v>
      </c>
      <c r="C3265">
        <v>28</v>
      </c>
    </row>
    <row r="3266" spans="2:3" x14ac:dyDescent="0.2">
      <c r="B3266" t="s">
        <v>8219</v>
      </c>
      <c r="C3266">
        <v>28</v>
      </c>
    </row>
    <row r="3267" spans="2:3" x14ac:dyDescent="0.2">
      <c r="B3267" t="s">
        <v>8219</v>
      </c>
      <c r="C3267">
        <v>28</v>
      </c>
    </row>
    <row r="3268" spans="2:3" x14ac:dyDescent="0.2">
      <c r="B3268" t="s">
        <v>8219</v>
      </c>
      <c r="C3268">
        <v>28</v>
      </c>
    </row>
    <row r="3269" spans="2:3" x14ac:dyDescent="0.2">
      <c r="B3269" t="s">
        <v>8219</v>
      </c>
      <c r="C3269">
        <v>28</v>
      </c>
    </row>
    <row r="3270" spans="2:3" x14ac:dyDescent="0.2">
      <c r="B3270" t="s">
        <v>8219</v>
      </c>
      <c r="C3270">
        <v>28</v>
      </c>
    </row>
    <row r="3271" spans="2:3" x14ac:dyDescent="0.2">
      <c r="B3271" t="s">
        <v>8219</v>
      </c>
      <c r="C3271">
        <v>28</v>
      </c>
    </row>
    <row r="3272" spans="2:3" x14ac:dyDescent="0.2">
      <c r="B3272" t="s">
        <v>8219</v>
      </c>
      <c r="C3272">
        <v>28</v>
      </c>
    </row>
    <row r="3273" spans="2:3" x14ac:dyDescent="0.2">
      <c r="B3273" t="s">
        <v>8219</v>
      </c>
      <c r="C3273">
        <v>28</v>
      </c>
    </row>
    <row r="3274" spans="2:3" x14ac:dyDescent="0.2">
      <c r="B3274" t="s">
        <v>8219</v>
      </c>
      <c r="C3274">
        <v>28</v>
      </c>
    </row>
    <row r="3275" spans="2:3" x14ac:dyDescent="0.2">
      <c r="B3275" t="s">
        <v>8219</v>
      </c>
      <c r="C3275">
        <v>28</v>
      </c>
    </row>
    <row r="3276" spans="2:3" x14ac:dyDescent="0.2">
      <c r="B3276" t="s">
        <v>8219</v>
      </c>
      <c r="C3276">
        <v>28</v>
      </c>
    </row>
    <row r="3277" spans="2:3" x14ac:dyDescent="0.2">
      <c r="B3277" t="s">
        <v>8219</v>
      </c>
      <c r="C3277">
        <v>28</v>
      </c>
    </row>
    <row r="3278" spans="2:3" x14ac:dyDescent="0.2">
      <c r="B3278" t="s">
        <v>8219</v>
      </c>
      <c r="C3278">
        <v>28</v>
      </c>
    </row>
    <row r="3279" spans="2:3" x14ac:dyDescent="0.2">
      <c r="B3279" t="s">
        <v>8219</v>
      </c>
      <c r="C3279">
        <v>28</v>
      </c>
    </row>
    <row r="3280" spans="2:3" x14ac:dyDescent="0.2">
      <c r="B3280" t="s">
        <v>8219</v>
      </c>
      <c r="C3280">
        <v>27</v>
      </c>
    </row>
    <row r="3281" spans="2:3" x14ac:dyDescent="0.2">
      <c r="B3281" t="s">
        <v>8219</v>
      </c>
      <c r="C3281">
        <v>27</v>
      </c>
    </row>
    <row r="3282" spans="2:3" x14ac:dyDescent="0.2">
      <c r="B3282" t="s">
        <v>8219</v>
      </c>
      <c r="C3282">
        <v>27</v>
      </c>
    </row>
    <row r="3283" spans="2:3" x14ac:dyDescent="0.2">
      <c r="B3283" t="s">
        <v>8219</v>
      </c>
      <c r="C3283">
        <v>27</v>
      </c>
    </row>
    <row r="3284" spans="2:3" x14ac:dyDescent="0.2">
      <c r="B3284" t="s">
        <v>8219</v>
      </c>
      <c r="C3284">
        <v>27</v>
      </c>
    </row>
    <row r="3285" spans="2:3" x14ac:dyDescent="0.2">
      <c r="B3285" t="s">
        <v>8219</v>
      </c>
      <c r="C3285">
        <v>27</v>
      </c>
    </row>
    <row r="3286" spans="2:3" x14ac:dyDescent="0.2">
      <c r="B3286" t="s">
        <v>8219</v>
      </c>
      <c r="C3286">
        <v>27</v>
      </c>
    </row>
    <row r="3287" spans="2:3" x14ac:dyDescent="0.2">
      <c r="B3287" t="s">
        <v>8219</v>
      </c>
      <c r="C3287">
        <v>27</v>
      </c>
    </row>
    <row r="3288" spans="2:3" x14ac:dyDescent="0.2">
      <c r="B3288" t="s">
        <v>8219</v>
      </c>
      <c r="C3288">
        <v>27</v>
      </c>
    </row>
    <row r="3289" spans="2:3" x14ac:dyDescent="0.2">
      <c r="B3289" t="s">
        <v>8219</v>
      </c>
      <c r="C3289">
        <v>27</v>
      </c>
    </row>
    <row r="3290" spans="2:3" x14ac:dyDescent="0.2">
      <c r="B3290" t="s">
        <v>8219</v>
      </c>
      <c r="C3290">
        <v>27</v>
      </c>
    </row>
    <row r="3291" spans="2:3" x14ac:dyDescent="0.2">
      <c r="B3291" t="s">
        <v>8219</v>
      </c>
      <c r="C3291">
        <v>27</v>
      </c>
    </row>
    <row r="3292" spans="2:3" x14ac:dyDescent="0.2">
      <c r="B3292" t="s">
        <v>8219</v>
      </c>
      <c r="C3292">
        <v>27</v>
      </c>
    </row>
    <row r="3293" spans="2:3" x14ac:dyDescent="0.2">
      <c r="B3293" t="s">
        <v>8219</v>
      </c>
      <c r="C3293">
        <v>27</v>
      </c>
    </row>
    <row r="3294" spans="2:3" x14ac:dyDescent="0.2">
      <c r="B3294" t="s">
        <v>8219</v>
      </c>
      <c r="C3294">
        <v>27</v>
      </c>
    </row>
    <row r="3295" spans="2:3" x14ac:dyDescent="0.2">
      <c r="B3295" t="s">
        <v>8219</v>
      </c>
      <c r="C3295">
        <v>27</v>
      </c>
    </row>
    <row r="3296" spans="2:3" x14ac:dyDescent="0.2">
      <c r="B3296" t="s">
        <v>8219</v>
      </c>
      <c r="C3296">
        <v>27</v>
      </c>
    </row>
    <row r="3297" spans="2:3" x14ac:dyDescent="0.2">
      <c r="B3297" t="s">
        <v>8219</v>
      </c>
      <c r="C3297">
        <v>27</v>
      </c>
    </row>
    <row r="3298" spans="2:3" x14ac:dyDescent="0.2">
      <c r="B3298" t="s">
        <v>8219</v>
      </c>
      <c r="C3298">
        <v>27</v>
      </c>
    </row>
    <row r="3299" spans="2:3" x14ac:dyDescent="0.2">
      <c r="B3299" t="s">
        <v>8219</v>
      </c>
      <c r="C3299">
        <v>27</v>
      </c>
    </row>
    <row r="3300" spans="2:3" x14ac:dyDescent="0.2">
      <c r="B3300" t="s">
        <v>8219</v>
      </c>
      <c r="C3300">
        <v>27</v>
      </c>
    </row>
    <row r="3301" spans="2:3" x14ac:dyDescent="0.2">
      <c r="B3301" t="s">
        <v>8219</v>
      </c>
      <c r="C3301">
        <v>27</v>
      </c>
    </row>
    <row r="3302" spans="2:3" x14ac:dyDescent="0.2">
      <c r="B3302" t="s">
        <v>8219</v>
      </c>
      <c r="C3302">
        <v>27</v>
      </c>
    </row>
    <row r="3303" spans="2:3" x14ac:dyDescent="0.2">
      <c r="B3303" t="s">
        <v>8219</v>
      </c>
      <c r="C3303">
        <v>27</v>
      </c>
    </row>
    <row r="3304" spans="2:3" x14ac:dyDescent="0.2">
      <c r="B3304" t="s">
        <v>8219</v>
      </c>
      <c r="C3304">
        <v>27</v>
      </c>
    </row>
    <row r="3305" spans="2:3" x14ac:dyDescent="0.2">
      <c r="B3305" t="s">
        <v>8219</v>
      </c>
      <c r="C3305">
        <v>27</v>
      </c>
    </row>
    <row r="3306" spans="2:3" x14ac:dyDescent="0.2">
      <c r="B3306" t="s">
        <v>8219</v>
      </c>
      <c r="C3306">
        <v>27</v>
      </c>
    </row>
    <row r="3307" spans="2:3" x14ac:dyDescent="0.2">
      <c r="B3307" t="s">
        <v>8219</v>
      </c>
      <c r="C3307">
        <v>27</v>
      </c>
    </row>
    <row r="3308" spans="2:3" x14ac:dyDescent="0.2">
      <c r="B3308" t="s">
        <v>8219</v>
      </c>
      <c r="C3308">
        <v>27</v>
      </c>
    </row>
    <row r="3309" spans="2:3" x14ac:dyDescent="0.2">
      <c r="B3309" t="s">
        <v>8219</v>
      </c>
      <c r="C3309">
        <v>27</v>
      </c>
    </row>
    <row r="3310" spans="2:3" x14ac:dyDescent="0.2">
      <c r="B3310" t="s">
        <v>8219</v>
      </c>
      <c r="C3310">
        <v>27</v>
      </c>
    </row>
    <row r="3311" spans="2:3" x14ac:dyDescent="0.2">
      <c r="B3311" t="s">
        <v>8219</v>
      </c>
      <c r="C3311">
        <v>27</v>
      </c>
    </row>
    <row r="3312" spans="2:3" x14ac:dyDescent="0.2">
      <c r="B3312" t="s">
        <v>8219</v>
      </c>
      <c r="C3312">
        <v>27</v>
      </c>
    </row>
    <row r="3313" spans="2:3" x14ac:dyDescent="0.2">
      <c r="B3313" t="s">
        <v>8219</v>
      </c>
      <c r="C3313">
        <v>27</v>
      </c>
    </row>
    <row r="3314" spans="2:3" x14ac:dyDescent="0.2">
      <c r="B3314" t="s">
        <v>8219</v>
      </c>
      <c r="C3314">
        <v>27</v>
      </c>
    </row>
    <row r="3315" spans="2:3" x14ac:dyDescent="0.2">
      <c r="B3315" t="s">
        <v>8219</v>
      </c>
      <c r="C3315">
        <v>27</v>
      </c>
    </row>
    <row r="3316" spans="2:3" x14ac:dyDescent="0.2">
      <c r="B3316" t="s">
        <v>8219</v>
      </c>
      <c r="C3316">
        <v>27</v>
      </c>
    </row>
    <row r="3317" spans="2:3" x14ac:dyDescent="0.2">
      <c r="B3317" t="s">
        <v>8219</v>
      </c>
      <c r="C3317">
        <v>26</v>
      </c>
    </row>
    <row r="3318" spans="2:3" x14ac:dyDescent="0.2">
      <c r="B3318" t="s">
        <v>8219</v>
      </c>
      <c r="C3318">
        <v>26</v>
      </c>
    </row>
    <row r="3319" spans="2:3" x14ac:dyDescent="0.2">
      <c r="B3319" t="s">
        <v>8219</v>
      </c>
      <c r="C3319">
        <v>26</v>
      </c>
    </row>
    <row r="3320" spans="2:3" x14ac:dyDescent="0.2">
      <c r="B3320" t="s">
        <v>8219</v>
      </c>
      <c r="C3320">
        <v>26</v>
      </c>
    </row>
    <row r="3321" spans="2:3" x14ac:dyDescent="0.2">
      <c r="B3321" t="s">
        <v>8219</v>
      </c>
      <c r="C3321">
        <v>26</v>
      </c>
    </row>
    <row r="3322" spans="2:3" x14ac:dyDescent="0.2">
      <c r="B3322" t="s">
        <v>8219</v>
      </c>
      <c r="C3322">
        <v>26</v>
      </c>
    </row>
    <row r="3323" spans="2:3" x14ac:dyDescent="0.2">
      <c r="B3323" t="s">
        <v>8219</v>
      </c>
      <c r="C3323">
        <v>26</v>
      </c>
    </row>
    <row r="3324" spans="2:3" x14ac:dyDescent="0.2">
      <c r="B3324" t="s">
        <v>8219</v>
      </c>
      <c r="C3324">
        <v>26</v>
      </c>
    </row>
    <row r="3325" spans="2:3" x14ac:dyDescent="0.2">
      <c r="B3325" t="s">
        <v>8219</v>
      </c>
      <c r="C3325">
        <v>26</v>
      </c>
    </row>
    <row r="3326" spans="2:3" x14ac:dyDescent="0.2">
      <c r="B3326" t="s">
        <v>8219</v>
      </c>
      <c r="C3326">
        <v>26</v>
      </c>
    </row>
    <row r="3327" spans="2:3" x14ac:dyDescent="0.2">
      <c r="B3327" t="s">
        <v>8219</v>
      </c>
      <c r="C3327">
        <v>26</v>
      </c>
    </row>
    <row r="3328" spans="2:3" x14ac:dyDescent="0.2">
      <c r="B3328" t="s">
        <v>8219</v>
      </c>
      <c r="C3328">
        <v>26</v>
      </c>
    </row>
    <row r="3329" spans="2:3" x14ac:dyDescent="0.2">
      <c r="B3329" t="s">
        <v>8219</v>
      </c>
      <c r="C3329">
        <v>26</v>
      </c>
    </row>
    <row r="3330" spans="2:3" x14ac:dyDescent="0.2">
      <c r="B3330" t="s">
        <v>8219</v>
      </c>
      <c r="C3330">
        <v>26</v>
      </c>
    </row>
    <row r="3331" spans="2:3" x14ac:dyDescent="0.2">
      <c r="B3331" t="s">
        <v>8219</v>
      </c>
      <c r="C3331">
        <v>26</v>
      </c>
    </row>
    <row r="3332" spans="2:3" x14ac:dyDescent="0.2">
      <c r="B3332" t="s">
        <v>8219</v>
      </c>
      <c r="C3332">
        <v>26</v>
      </c>
    </row>
    <row r="3333" spans="2:3" x14ac:dyDescent="0.2">
      <c r="B3333" t="s">
        <v>8219</v>
      </c>
      <c r="C3333">
        <v>26</v>
      </c>
    </row>
    <row r="3334" spans="2:3" x14ac:dyDescent="0.2">
      <c r="B3334" t="s">
        <v>8219</v>
      </c>
      <c r="C3334">
        <v>26</v>
      </c>
    </row>
    <row r="3335" spans="2:3" x14ac:dyDescent="0.2">
      <c r="B3335" t="s">
        <v>8219</v>
      </c>
      <c r="C3335">
        <v>26</v>
      </c>
    </row>
    <row r="3336" spans="2:3" x14ac:dyDescent="0.2">
      <c r="B3336" t="s">
        <v>8219</v>
      </c>
      <c r="C3336">
        <v>26</v>
      </c>
    </row>
    <row r="3337" spans="2:3" x14ac:dyDescent="0.2">
      <c r="B3337" t="s">
        <v>8219</v>
      </c>
      <c r="C3337">
        <v>26</v>
      </c>
    </row>
    <row r="3338" spans="2:3" x14ac:dyDescent="0.2">
      <c r="B3338" t="s">
        <v>8219</v>
      </c>
      <c r="C3338">
        <v>26</v>
      </c>
    </row>
    <row r="3339" spans="2:3" x14ac:dyDescent="0.2">
      <c r="B3339" t="s">
        <v>8219</v>
      </c>
      <c r="C3339">
        <v>26</v>
      </c>
    </row>
    <row r="3340" spans="2:3" x14ac:dyDescent="0.2">
      <c r="B3340" t="s">
        <v>8219</v>
      </c>
      <c r="C3340">
        <v>26</v>
      </c>
    </row>
    <row r="3341" spans="2:3" x14ac:dyDescent="0.2">
      <c r="B3341" t="s">
        <v>8219</v>
      </c>
      <c r="C3341">
        <v>26</v>
      </c>
    </row>
    <row r="3342" spans="2:3" x14ac:dyDescent="0.2">
      <c r="B3342" t="s">
        <v>8219</v>
      </c>
      <c r="C3342">
        <v>26</v>
      </c>
    </row>
    <row r="3343" spans="2:3" x14ac:dyDescent="0.2">
      <c r="B3343" t="s">
        <v>8219</v>
      </c>
      <c r="C3343">
        <v>26</v>
      </c>
    </row>
    <row r="3344" spans="2:3" x14ac:dyDescent="0.2">
      <c r="B3344" t="s">
        <v>8219</v>
      </c>
      <c r="C3344">
        <v>26</v>
      </c>
    </row>
    <row r="3345" spans="2:3" x14ac:dyDescent="0.2">
      <c r="B3345" t="s">
        <v>8219</v>
      </c>
      <c r="C3345">
        <v>25</v>
      </c>
    </row>
    <row r="3346" spans="2:3" x14ac:dyDescent="0.2">
      <c r="B3346" t="s">
        <v>8219</v>
      </c>
      <c r="C3346">
        <v>25</v>
      </c>
    </row>
    <row r="3347" spans="2:3" x14ac:dyDescent="0.2">
      <c r="B3347" t="s">
        <v>8219</v>
      </c>
      <c r="C3347">
        <v>25</v>
      </c>
    </row>
    <row r="3348" spans="2:3" x14ac:dyDescent="0.2">
      <c r="B3348" t="s">
        <v>8219</v>
      </c>
      <c r="C3348">
        <v>25</v>
      </c>
    </row>
    <row r="3349" spans="2:3" x14ac:dyDescent="0.2">
      <c r="B3349" t="s">
        <v>8219</v>
      </c>
      <c r="C3349">
        <v>25</v>
      </c>
    </row>
    <row r="3350" spans="2:3" x14ac:dyDescent="0.2">
      <c r="B3350" t="s">
        <v>8219</v>
      </c>
      <c r="C3350">
        <v>25</v>
      </c>
    </row>
    <row r="3351" spans="2:3" x14ac:dyDescent="0.2">
      <c r="B3351" t="s">
        <v>8219</v>
      </c>
      <c r="C3351">
        <v>25</v>
      </c>
    </row>
    <row r="3352" spans="2:3" x14ac:dyDescent="0.2">
      <c r="B3352" t="s">
        <v>8219</v>
      </c>
      <c r="C3352">
        <v>25</v>
      </c>
    </row>
    <row r="3353" spans="2:3" x14ac:dyDescent="0.2">
      <c r="B3353" t="s">
        <v>8219</v>
      </c>
      <c r="C3353">
        <v>25</v>
      </c>
    </row>
    <row r="3354" spans="2:3" x14ac:dyDescent="0.2">
      <c r="B3354" t="s">
        <v>8219</v>
      </c>
      <c r="C3354">
        <v>25</v>
      </c>
    </row>
    <row r="3355" spans="2:3" x14ac:dyDescent="0.2">
      <c r="B3355" t="s">
        <v>8219</v>
      </c>
      <c r="C3355">
        <v>25</v>
      </c>
    </row>
    <row r="3356" spans="2:3" x14ac:dyDescent="0.2">
      <c r="B3356" t="s">
        <v>8219</v>
      </c>
      <c r="C3356">
        <v>25</v>
      </c>
    </row>
    <row r="3357" spans="2:3" x14ac:dyDescent="0.2">
      <c r="B3357" t="s">
        <v>8219</v>
      </c>
      <c r="C3357">
        <v>25</v>
      </c>
    </row>
    <row r="3358" spans="2:3" x14ac:dyDescent="0.2">
      <c r="B3358" t="s">
        <v>8219</v>
      </c>
      <c r="C3358">
        <v>25</v>
      </c>
    </row>
    <row r="3359" spans="2:3" x14ac:dyDescent="0.2">
      <c r="B3359" t="s">
        <v>8219</v>
      </c>
      <c r="C3359">
        <v>25</v>
      </c>
    </row>
    <row r="3360" spans="2:3" x14ac:dyDescent="0.2">
      <c r="B3360" t="s">
        <v>8219</v>
      </c>
      <c r="C3360">
        <v>25</v>
      </c>
    </row>
    <row r="3361" spans="2:3" x14ac:dyDescent="0.2">
      <c r="B3361" t="s">
        <v>8219</v>
      </c>
      <c r="C3361">
        <v>25</v>
      </c>
    </row>
    <row r="3362" spans="2:3" x14ac:dyDescent="0.2">
      <c r="B3362" t="s">
        <v>8219</v>
      </c>
      <c r="C3362">
        <v>25</v>
      </c>
    </row>
    <row r="3363" spans="2:3" x14ac:dyDescent="0.2">
      <c r="B3363" t="s">
        <v>8219</v>
      </c>
      <c r="C3363">
        <v>25</v>
      </c>
    </row>
    <row r="3364" spans="2:3" x14ac:dyDescent="0.2">
      <c r="B3364" t="s">
        <v>8219</v>
      </c>
      <c r="C3364">
        <v>25</v>
      </c>
    </row>
    <row r="3365" spans="2:3" x14ac:dyDescent="0.2">
      <c r="B3365" t="s">
        <v>8219</v>
      </c>
      <c r="C3365">
        <v>25</v>
      </c>
    </row>
    <row r="3366" spans="2:3" x14ac:dyDescent="0.2">
      <c r="B3366" t="s">
        <v>8219</v>
      </c>
      <c r="C3366">
        <v>25</v>
      </c>
    </row>
    <row r="3367" spans="2:3" x14ac:dyDescent="0.2">
      <c r="B3367" t="s">
        <v>8219</v>
      </c>
      <c r="C3367">
        <v>25</v>
      </c>
    </row>
    <row r="3368" spans="2:3" x14ac:dyDescent="0.2">
      <c r="B3368" t="s">
        <v>8219</v>
      </c>
      <c r="C3368">
        <v>25</v>
      </c>
    </row>
    <row r="3369" spans="2:3" x14ac:dyDescent="0.2">
      <c r="B3369" t="s">
        <v>8219</v>
      </c>
      <c r="C3369">
        <v>25</v>
      </c>
    </row>
    <row r="3370" spans="2:3" x14ac:dyDescent="0.2">
      <c r="B3370" t="s">
        <v>8219</v>
      </c>
      <c r="C3370">
        <v>25</v>
      </c>
    </row>
    <row r="3371" spans="2:3" x14ac:dyDescent="0.2">
      <c r="B3371" t="s">
        <v>8219</v>
      </c>
      <c r="C3371">
        <v>25</v>
      </c>
    </row>
    <row r="3372" spans="2:3" x14ac:dyDescent="0.2">
      <c r="B3372" t="s">
        <v>8219</v>
      </c>
      <c r="C3372">
        <v>25</v>
      </c>
    </row>
    <row r="3373" spans="2:3" x14ac:dyDescent="0.2">
      <c r="B3373" t="s">
        <v>8219</v>
      </c>
      <c r="C3373">
        <v>25</v>
      </c>
    </row>
    <row r="3374" spans="2:3" x14ac:dyDescent="0.2">
      <c r="B3374" t="s">
        <v>8219</v>
      </c>
      <c r="C3374">
        <v>25</v>
      </c>
    </row>
    <row r="3375" spans="2:3" x14ac:dyDescent="0.2">
      <c r="B3375" t="s">
        <v>8219</v>
      </c>
      <c r="C3375">
        <v>25</v>
      </c>
    </row>
    <row r="3376" spans="2:3" x14ac:dyDescent="0.2">
      <c r="B3376" t="s">
        <v>8219</v>
      </c>
      <c r="C3376">
        <v>25</v>
      </c>
    </row>
    <row r="3377" spans="2:3" x14ac:dyDescent="0.2">
      <c r="B3377" t="s">
        <v>8219</v>
      </c>
      <c r="C3377">
        <v>24</v>
      </c>
    </row>
    <row r="3378" spans="2:3" x14ac:dyDescent="0.2">
      <c r="B3378" t="s">
        <v>8219</v>
      </c>
      <c r="C3378">
        <v>24</v>
      </c>
    </row>
    <row r="3379" spans="2:3" x14ac:dyDescent="0.2">
      <c r="B3379" t="s">
        <v>8219</v>
      </c>
      <c r="C3379">
        <v>24</v>
      </c>
    </row>
    <row r="3380" spans="2:3" x14ac:dyDescent="0.2">
      <c r="B3380" t="s">
        <v>8219</v>
      </c>
      <c r="C3380">
        <v>24</v>
      </c>
    </row>
    <row r="3381" spans="2:3" x14ac:dyDescent="0.2">
      <c r="B3381" t="s">
        <v>8219</v>
      </c>
      <c r="C3381">
        <v>24</v>
      </c>
    </row>
    <row r="3382" spans="2:3" x14ac:dyDescent="0.2">
      <c r="B3382" t="s">
        <v>8219</v>
      </c>
      <c r="C3382">
        <v>24</v>
      </c>
    </row>
    <row r="3383" spans="2:3" x14ac:dyDescent="0.2">
      <c r="B3383" t="s">
        <v>8219</v>
      </c>
      <c r="C3383">
        <v>24</v>
      </c>
    </row>
    <row r="3384" spans="2:3" x14ac:dyDescent="0.2">
      <c r="B3384" t="s">
        <v>8219</v>
      </c>
      <c r="C3384">
        <v>24</v>
      </c>
    </row>
    <row r="3385" spans="2:3" x14ac:dyDescent="0.2">
      <c r="B3385" t="s">
        <v>8219</v>
      </c>
      <c r="C3385">
        <v>24</v>
      </c>
    </row>
    <row r="3386" spans="2:3" x14ac:dyDescent="0.2">
      <c r="B3386" t="s">
        <v>8219</v>
      </c>
      <c r="C3386">
        <v>24</v>
      </c>
    </row>
    <row r="3387" spans="2:3" x14ac:dyDescent="0.2">
      <c r="B3387" t="s">
        <v>8219</v>
      </c>
      <c r="C3387">
        <v>24</v>
      </c>
    </row>
    <row r="3388" spans="2:3" x14ac:dyDescent="0.2">
      <c r="B3388" t="s">
        <v>8219</v>
      </c>
      <c r="C3388">
        <v>24</v>
      </c>
    </row>
    <row r="3389" spans="2:3" x14ac:dyDescent="0.2">
      <c r="B3389" t="s">
        <v>8219</v>
      </c>
      <c r="C3389">
        <v>24</v>
      </c>
    </row>
    <row r="3390" spans="2:3" x14ac:dyDescent="0.2">
      <c r="B3390" t="s">
        <v>8219</v>
      </c>
      <c r="C3390">
        <v>24</v>
      </c>
    </row>
    <row r="3391" spans="2:3" x14ac:dyDescent="0.2">
      <c r="B3391" t="s">
        <v>8219</v>
      </c>
      <c r="C3391">
        <v>24</v>
      </c>
    </row>
    <row r="3392" spans="2:3" x14ac:dyDescent="0.2">
      <c r="B3392" t="s">
        <v>8219</v>
      </c>
      <c r="C3392">
        <v>24</v>
      </c>
    </row>
    <row r="3393" spans="2:3" x14ac:dyDescent="0.2">
      <c r="B3393" t="s">
        <v>8219</v>
      </c>
      <c r="C3393">
        <v>24</v>
      </c>
    </row>
    <row r="3394" spans="2:3" x14ac:dyDescent="0.2">
      <c r="B3394" t="s">
        <v>8219</v>
      </c>
      <c r="C3394">
        <v>24</v>
      </c>
    </row>
    <row r="3395" spans="2:3" x14ac:dyDescent="0.2">
      <c r="B3395" t="s">
        <v>8219</v>
      </c>
      <c r="C3395">
        <v>24</v>
      </c>
    </row>
    <row r="3396" spans="2:3" x14ac:dyDescent="0.2">
      <c r="B3396" t="s">
        <v>8219</v>
      </c>
      <c r="C3396">
        <v>23</v>
      </c>
    </row>
    <row r="3397" spans="2:3" x14ac:dyDescent="0.2">
      <c r="B3397" t="s">
        <v>8219</v>
      </c>
      <c r="C3397">
        <v>23</v>
      </c>
    </row>
    <row r="3398" spans="2:3" x14ac:dyDescent="0.2">
      <c r="B3398" t="s">
        <v>8219</v>
      </c>
      <c r="C3398">
        <v>23</v>
      </c>
    </row>
    <row r="3399" spans="2:3" x14ac:dyDescent="0.2">
      <c r="B3399" t="s">
        <v>8219</v>
      </c>
      <c r="C3399">
        <v>23</v>
      </c>
    </row>
    <row r="3400" spans="2:3" x14ac:dyDescent="0.2">
      <c r="B3400" t="s">
        <v>8219</v>
      </c>
      <c r="C3400">
        <v>23</v>
      </c>
    </row>
    <row r="3401" spans="2:3" x14ac:dyDescent="0.2">
      <c r="B3401" t="s">
        <v>8219</v>
      </c>
      <c r="C3401">
        <v>23</v>
      </c>
    </row>
    <row r="3402" spans="2:3" x14ac:dyDescent="0.2">
      <c r="B3402" t="s">
        <v>8219</v>
      </c>
      <c r="C3402">
        <v>23</v>
      </c>
    </row>
    <row r="3403" spans="2:3" x14ac:dyDescent="0.2">
      <c r="B3403" t="s">
        <v>8219</v>
      </c>
      <c r="C3403">
        <v>23</v>
      </c>
    </row>
    <row r="3404" spans="2:3" x14ac:dyDescent="0.2">
      <c r="B3404" t="s">
        <v>8219</v>
      </c>
      <c r="C3404">
        <v>23</v>
      </c>
    </row>
    <row r="3405" spans="2:3" x14ac:dyDescent="0.2">
      <c r="B3405" t="s">
        <v>8219</v>
      </c>
      <c r="C3405">
        <v>23</v>
      </c>
    </row>
    <row r="3406" spans="2:3" x14ac:dyDescent="0.2">
      <c r="B3406" t="s">
        <v>8219</v>
      </c>
      <c r="C3406">
        <v>23</v>
      </c>
    </row>
    <row r="3407" spans="2:3" x14ac:dyDescent="0.2">
      <c r="B3407" t="s">
        <v>8219</v>
      </c>
      <c r="C3407">
        <v>23</v>
      </c>
    </row>
    <row r="3408" spans="2:3" x14ac:dyDescent="0.2">
      <c r="B3408" t="s">
        <v>8219</v>
      </c>
      <c r="C3408">
        <v>23</v>
      </c>
    </row>
    <row r="3409" spans="2:3" x14ac:dyDescent="0.2">
      <c r="B3409" t="s">
        <v>8219</v>
      </c>
      <c r="C3409">
        <v>23</v>
      </c>
    </row>
    <row r="3410" spans="2:3" x14ac:dyDescent="0.2">
      <c r="B3410" t="s">
        <v>8219</v>
      </c>
      <c r="C3410">
        <v>23</v>
      </c>
    </row>
    <row r="3411" spans="2:3" x14ac:dyDescent="0.2">
      <c r="B3411" t="s">
        <v>8219</v>
      </c>
      <c r="C3411">
        <v>23</v>
      </c>
    </row>
    <row r="3412" spans="2:3" x14ac:dyDescent="0.2">
      <c r="B3412" t="s">
        <v>8219</v>
      </c>
      <c r="C3412">
        <v>23</v>
      </c>
    </row>
    <row r="3413" spans="2:3" x14ac:dyDescent="0.2">
      <c r="B3413" t="s">
        <v>8219</v>
      </c>
      <c r="C3413">
        <v>23</v>
      </c>
    </row>
    <row r="3414" spans="2:3" x14ac:dyDescent="0.2">
      <c r="B3414" t="s">
        <v>8219</v>
      </c>
      <c r="C3414">
        <v>23</v>
      </c>
    </row>
    <row r="3415" spans="2:3" x14ac:dyDescent="0.2">
      <c r="B3415" t="s">
        <v>8219</v>
      </c>
      <c r="C3415">
        <v>23</v>
      </c>
    </row>
    <row r="3416" spans="2:3" x14ac:dyDescent="0.2">
      <c r="B3416" t="s">
        <v>8219</v>
      </c>
      <c r="C3416">
        <v>23</v>
      </c>
    </row>
    <row r="3417" spans="2:3" x14ac:dyDescent="0.2">
      <c r="B3417" t="s">
        <v>8219</v>
      </c>
      <c r="C3417">
        <v>23</v>
      </c>
    </row>
    <row r="3418" spans="2:3" x14ac:dyDescent="0.2">
      <c r="B3418" t="s">
        <v>8219</v>
      </c>
      <c r="C3418">
        <v>23</v>
      </c>
    </row>
    <row r="3419" spans="2:3" x14ac:dyDescent="0.2">
      <c r="B3419" t="s">
        <v>8219</v>
      </c>
      <c r="C3419">
        <v>23</v>
      </c>
    </row>
    <row r="3420" spans="2:3" x14ac:dyDescent="0.2">
      <c r="B3420" t="s">
        <v>8219</v>
      </c>
      <c r="C3420">
        <v>22</v>
      </c>
    </row>
    <row r="3421" spans="2:3" x14ac:dyDescent="0.2">
      <c r="B3421" t="s">
        <v>8219</v>
      </c>
      <c r="C3421">
        <v>22</v>
      </c>
    </row>
    <row r="3422" spans="2:3" x14ac:dyDescent="0.2">
      <c r="B3422" t="s">
        <v>8219</v>
      </c>
      <c r="C3422">
        <v>22</v>
      </c>
    </row>
    <row r="3423" spans="2:3" x14ac:dyDescent="0.2">
      <c r="B3423" t="s">
        <v>8219</v>
      </c>
      <c r="C3423">
        <v>22</v>
      </c>
    </row>
    <row r="3424" spans="2:3" x14ac:dyDescent="0.2">
      <c r="B3424" t="s">
        <v>8219</v>
      </c>
      <c r="C3424">
        <v>22</v>
      </c>
    </row>
    <row r="3425" spans="2:3" x14ac:dyDescent="0.2">
      <c r="B3425" t="s">
        <v>8219</v>
      </c>
      <c r="C3425">
        <v>22</v>
      </c>
    </row>
    <row r="3426" spans="2:3" x14ac:dyDescent="0.2">
      <c r="B3426" t="s">
        <v>8219</v>
      </c>
      <c r="C3426">
        <v>22</v>
      </c>
    </row>
    <row r="3427" spans="2:3" x14ac:dyDescent="0.2">
      <c r="B3427" t="s">
        <v>8219</v>
      </c>
      <c r="C3427">
        <v>22</v>
      </c>
    </row>
    <row r="3428" spans="2:3" x14ac:dyDescent="0.2">
      <c r="B3428" t="s">
        <v>8219</v>
      </c>
      <c r="C3428">
        <v>22</v>
      </c>
    </row>
    <row r="3429" spans="2:3" x14ac:dyDescent="0.2">
      <c r="B3429" t="s">
        <v>8219</v>
      </c>
      <c r="C3429">
        <v>22</v>
      </c>
    </row>
    <row r="3430" spans="2:3" x14ac:dyDescent="0.2">
      <c r="B3430" t="s">
        <v>8219</v>
      </c>
      <c r="C3430">
        <v>22</v>
      </c>
    </row>
    <row r="3431" spans="2:3" x14ac:dyDescent="0.2">
      <c r="B3431" t="s">
        <v>8219</v>
      </c>
      <c r="C3431">
        <v>22</v>
      </c>
    </row>
    <row r="3432" spans="2:3" x14ac:dyDescent="0.2">
      <c r="B3432" t="s">
        <v>8219</v>
      </c>
      <c r="C3432">
        <v>22</v>
      </c>
    </row>
    <row r="3433" spans="2:3" x14ac:dyDescent="0.2">
      <c r="B3433" t="s">
        <v>8219</v>
      </c>
      <c r="C3433">
        <v>22</v>
      </c>
    </row>
    <row r="3434" spans="2:3" x14ac:dyDescent="0.2">
      <c r="B3434" t="s">
        <v>8219</v>
      </c>
      <c r="C3434">
        <v>22</v>
      </c>
    </row>
    <row r="3435" spans="2:3" x14ac:dyDescent="0.2">
      <c r="B3435" t="s">
        <v>8219</v>
      </c>
      <c r="C3435">
        <v>22</v>
      </c>
    </row>
    <row r="3436" spans="2:3" x14ac:dyDescent="0.2">
      <c r="B3436" t="s">
        <v>8219</v>
      </c>
      <c r="C3436">
        <v>22</v>
      </c>
    </row>
    <row r="3437" spans="2:3" x14ac:dyDescent="0.2">
      <c r="B3437" t="s">
        <v>8219</v>
      </c>
      <c r="C3437">
        <v>22</v>
      </c>
    </row>
    <row r="3438" spans="2:3" x14ac:dyDescent="0.2">
      <c r="B3438" t="s">
        <v>8219</v>
      </c>
      <c r="C3438">
        <v>21</v>
      </c>
    </row>
    <row r="3439" spans="2:3" x14ac:dyDescent="0.2">
      <c r="B3439" t="s">
        <v>8219</v>
      </c>
      <c r="C3439">
        <v>21</v>
      </c>
    </row>
    <row r="3440" spans="2:3" x14ac:dyDescent="0.2">
      <c r="B3440" t="s">
        <v>8219</v>
      </c>
      <c r="C3440">
        <v>21</v>
      </c>
    </row>
    <row r="3441" spans="2:3" x14ac:dyDescent="0.2">
      <c r="B3441" t="s">
        <v>8219</v>
      </c>
      <c r="C3441">
        <v>21</v>
      </c>
    </row>
    <row r="3442" spans="2:3" x14ac:dyDescent="0.2">
      <c r="B3442" t="s">
        <v>8219</v>
      </c>
      <c r="C3442">
        <v>21</v>
      </c>
    </row>
    <row r="3443" spans="2:3" x14ac:dyDescent="0.2">
      <c r="B3443" t="s">
        <v>8219</v>
      </c>
      <c r="C3443">
        <v>21</v>
      </c>
    </row>
    <row r="3444" spans="2:3" x14ac:dyDescent="0.2">
      <c r="B3444" t="s">
        <v>8219</v>
      </c>
      <c r="C3444">
        <v>21</v>
      </c>
    </row>
    <row r="3445" spans="2:3" x14ac:dyDescent="0.2">
      <c r="B3445" t="s">
        <v>8219</v>
      </c>
      <c r="C3445">
        <v>21</v>
      </c>
    </row>
    <row r="3446" spans="2:3" x14ac:dyDescent="0.2">
      <c r="B3446" t="s">
        <v>8219</v>
      </c>
      <c r="C3446">
        <v>21</v>
      </c>
    </row>
    <row r="3447" spans="2:3" x14ac:dyDescent="0.2">
      <c r="B3447" t="s">
        <v>8219</v>
      </c>
      <c r="C3447">
        <v>21</v>
      </c>
    </row>
    <row r="3448" spans="2:3" x14ac:dyDescent="0.2">
      <c r="B3448" t="s">
        <v>8219</v>
      </c>
      <c r="C3448">
        <v>21</v>
      </c>
    </row>
    <row r="3449" spans="2:3" x14ac:dyDescent="0.2">
      <c r="B3449" t="s">
        <v>8219</v>
      </c>
      <c r="C3449">
        <v>21</v>
      </c>
    </row>
    <row r="3450" spans="2:3" x14ac:dyDescent="0.2">
      <c r="B3450" t="s">
        <v>8219</v>
      </c>
      <c r="C3450">
        <v>21</v>
      </c>
    </row>
    <row r="3451" spans="2:3" x14ac:dyDescent="0.2">
      <c r="B3451" t="s">
        <v>8219</v>
      </c>
      <c r="C3451">
        <v>21</v>
      </c>
    </row>
    <row r="3452" spans="2:3" x14ac:dyDescent="0.2">
      <c r="B3452" t="s">
        <v>8219</v>
      </c>
      <c r="C3452">
        <v>21</v>
      </c>
    </row>
    <row r="3453" spans="2:3" x14ac:dyDescent="0.2">
      <c r="B3453" t="s">
        <v>8219</v>
      </c>
      <c r="C3453">
        <v>21</v>
      </c>
    </row>
    <row r="3454" spans="2:3" x14ac:dyDescent="0.2">
      <c r="B3454" t="s">
        <v>8219</v>
      </c>
      <c r="C3454">
        <v>21</v>
      </c>
    </row>
    <row r="3455" spans="2:3" x14ac:dyDescent="0.2">
      <c r="B3455" t="s">
        <v>8219</v>
      </c>
      <c r="C3455">
        <v>21</v>
      </c>
    </row>
    <row r="3456" spans="2:3" x14ac:dyDescent="0.2">
      <c r="B3456" t="s">
        <v>8219</v>
      </c>
      <c r="C3456">
        <v>21</v>
      </c>
    </row>
    <row r="3457" spans="2:3" x14ac:dyDescent="0.2">
      <c r="B3457" t="s">
        <v>8219</v>
      </c>
      <c r="C3457">
        <v>21</v>
      </c>
    </row>
    <row r="3458" spans="2:3" x14ac:dyDescent="0.2">
      <c r="B3458" t="s">
        <v>8219</v>
      </c>
      <c r="C3458">
        <v>21</v>
      </c>
    </row>
    <row r="3459" spans="2:3" x14ac:dyDescent="0.2">
      <c r="B3459" t="s">
        <v>8219</v>
      </c>
      <c r="C3459">
        <v>21</v>
      </c>
    </row>
    <row r="3460" spans="2:3" x14ac:dyDescent="0.2">
      <c r="B3460" t="s">
        <v>8219</v>
      </c>
      <c r="C3460">
        <v>21</v>
      </c>
    </row>
    <row r="3461" spans="2:3" x14ac:dyDescent="0.2">
      <c r="B3461" t="s">
        <v>8219</v>
      </c>
      <c r="C3461">
        <v>21</v>
      </c>
    </row>
    <row r="3462" spans="2:3" x14ac:dyDescent="0.2">
      <c r="B3462" t="s">
        <v>8219</v>
      </c>
      <c r="C3462">
        <v>21</v>
      </c>
    </row>
    <row r="3463" spans="2:3" x14ac:dyDescent="0.2">
      <c r="B3463" t="s">
        <v>8219</v>
      </c>
      <c r="C3463">
        <v>21</v>
      </c>
    </row>
    <row r="3464" spans="2:3" x14ac:dyDescent="0.2">
      <c r="B3464" t="s">
        <v>8219</v>
      </c>
      <c r="C3464">
        <v>21</v>
      </c>
    </row>
    <row r="3465" spans="2:3" x14ac:dyDescent="0.2">
      <c r="B3465" t="s">
        <v>8219</v>
      </c>
      <c r="C3465">
        <v>21</v>
      </c>
    </row>
    <row r="3466" spans="2:3" x14ac:dyDescent="0.2">
      <c r="B3466" t="s">
        <v>8219</v>
      </c>
      <c r="C3466">
        <v>20</v>
      </c>
    </row>
    <row r="3467" spans="2:3" x14ac:dyDescent="0.2">
      <c r="B3467" t="s">
        <v>8219</v>
      </c>
      <c r="C3467">
        <v>20</v>
      </c>
    </row>
    <row r="3468" spans="2:3" x14ac:dyDescent="0.2">
      <c r="B3468" t="s">
        <v>8219</v>
      </c>
      <c r="C3468">
        <v>20</v>
      </c>
    </row>
    <row r="3469" spans="2:3" x14ac:dyDescent="0.2">
      <c r="B3469" t="s">
        <v>8219</v>
      </c>
      <c r="C3469">
        <v>20</v>
      </c>
    </row>
    <row r="3470" spans="2:3" x14ac:dyDescent="0.2">
      <c r="B3470" t="s">
        <v>8219</v>
      </c>
      <c r="C3470">
        <v>20</v>
      </c>
    </row>
    <row r="3471" spans="2:3" x14ac:dyDescent="0.2">
      <c r="B3471" t="s">
        <v>8219</v>
      </c>
      <c r="C3471">
        <v>20</v>
      </c>
    </row>
    <row r="3472" spans="2:3" x14ac:dyDescent="0.2">
      <c r="B3472" t="s">
        <v>8219</v>
      </c>
      <c r="C3472">
        <v>20</v>
      </c>
    </row>
    <row r="3473" spans="2:3" x14ac:dyDescent="0.2">
      <c r="B3473" t="s">
        <v>8219</v>
      </c>
      <c r="C3473">
        <v>20</v>
      </c>
    </row>
    <row r="3474" spans="2:3" x14ac:dyDescent="0.2">
      <c r="B3474" t="s">
        <v>8219</v>
      </c>
      <c r="C3474">
        <v>20</v>
      </c>
    </row>
    <row r="3475" spans="2:3" x14ac:dyDescent="0.2">
      <c r="B3475" t="s">
        <v>8219</v>
      </c>
      <c r="C3475">
        <v>20</v>
      </c>
    </row>
    <row r="3476" spans="2:3" x14ac:dyDescent="0.2">
      <c r="B3476" t="s">
        <v>8219</v>
      </c>
      <c r="C3476">
        <v>20</v>
      </c>
    </row>
    <row r="3477" spans="2:3" x14ac:dyDescent="0.2">
      <c r="B3477" t="s">
        <v>8219</v>
      </c>
      <c r="C3477">
        <v>20</v>
      </c>
    </row>
    <row r="3478" spans="2:3" x14ac:dyDescent="0.2">
      <c r="B3478" t="s">
        <v>8219</v>
      </c>
      <c r="C3478">
        <v>20</v>
      </c>
    </row>
    <row r="3479" spans="2:3" x14ac:dyDescent="0.2">
      <c r="B3479" t="s">
        <v>8219</v>
      </c>
      <c r="C3479">
        <v>20</v>
      </c>
    </row>
    <row r="3480" spans="2:3" x14ac:dyDescent="0.2">
      <c r="B3480" t="s">
        <v>8219</v>
      </c>
      <c r="C3480">
        <v>20</v>
      </c>
    </row>
    <row r="3481" spans="2:3" x14ac:dyDescent="0.2">
      <c r="B3481" t="s">
        <v>8219</v>
      </c>
      <c r="C3481">
        <v>20</v>
      </c>
    </row>
    <row r="3482" spans="2:3" x14ac:dyDescent="0.2">
      <c r="B3482" t="s">
        <v>8219</v>
      </c>
      <c r="C3482">
        <v>20</v>
      </c>
    </row>
    <row r="3483" spans="2:3" x14ac:dyDescent="0.2">
      <c r="B3483" t="s">
        <v>8219</v>
      </c>
      <c r="C3483">
        <v>20</v>
      </c>
    </row>
    <row r="3484" spans="2:3" x14ac:dyDescent="0.2">
      <c r="B3484" t="s">
        <v>8219</v>
      </c>
      <c r="C3484">
        <v>20</v>
      </c>
    </row>
    <row r="3485" spans="2:3" x14ac:dyDescent="0.2">
      <c r="B3485" t="s">
        <v>8219</v>
      </c>
      <c r="C3485">
        <v>20</v>
      </c>
    </row>
    <row r="3486" spans="2:3" x14ac:dyDescent="0.2">
      <c r="B3486" t="s">
        <v>8219</v>
      </c>
      <c r="C3486">
        <v>20</v>
      </c>
    </row>
    <row r="3487" spans="2:3" x14ac:dyDescent="0.2">
      <c r="B3487" t="s">
        <v>8219</v>
      </c>
      <c r="C3487">
        <v>20</v>
      </c>
    </row>
    <row r="3488" spans="2:3" x14ac:dyDescent="0.2">
      <c r="B3488" t="s">
        <v>8219</v>
      </c>
      <c r="C3488">
        <v>20</v>
      </c>
    </row>
    <row r="3489" spans="2:3" x14ac:dyDescent="0.2">
      <c r="B3489" t="s">
        <v>8219</v>
      </c>
      <c r="C3489">
        <v>20</v>
      </c>
    </row>
    <row r="3490" spans="2:3" x14ac:dyDescent="0.2">
      <c r="B3490" t="s">
        <v>8219</v>
      </c>
      <c r="C3490">
        <v>20</v>
      </c>
    </row>
    <row r="3491" spans="2:3" x14ac:dyDescent="0.2">
      <c r="B3491" t="s">
        <v>8219</v>
      </c>
      <c r="C3491">
        <v>20</v>
      </c>
    </row>
    <row r="3492" spans="2:3" x14ac:dyDescent="0.2">
      <c r="B3492" t="s">
        <v>8219</v>
      </c>
      <c r="C3492">
        <v>20</v>
      </c>
    </row>
    <row r="3493" spans="2:3" x14ac:dyDescent="0.2">
      <c r="B3493" t="s">
        <v>8219</v>
      </c>
      <c r="C3493">
        <v>20</v>
      </c>
    </row>
    <row r="3494" spans="2:3" x14ac:dyDescent="0.2">
      <c r="B3494" t="s">
        <v>8219</v>
      </c>
      <c r="C3494">
        <v>20</v>
      </c>
    </row>
    <row r="3495" spans="2:3" x14ac:dyDescent="0.2">
      <c r="B3495" t="s">
        <v>8219</v>
      </c>
      <c r="C3495">
        <v>20</v>
      </c>
    </row>
    <row r="3496" spans="2:3" x14ac:dyDescent="0.2">
      <c r="B3496" t="s">
        <v>8219</v>
      </c>
      <c r="C3496">
        <v>20</v>
      </c>
    </row>
    <row r="3497" spans="2:3" x14ac:dyDescent="0.2">
      <c r="B3497" t="s">
        <v>8219</v>
      </c>
      <c r="C3497">
        <v>20</v>
      </c>
    </row>
    <row r="3498" spans="2:3" x14ac:dyDescent="0.2">
      <c r="B3498" t="s">
        <v>8219</v>
      </c>
      <c r="C3498">
        <v>20</v>
      </c>
    </row>
    <row r="3499" spans="2:3" x14ac:dyDescent="0.2">
      <c r="B3499" t="s">
        <v>8219</v>
      </c>
      <c r="C3499">
        <v>20</v>
      </c>
    </row>
    <row r="3500" spans="2:3" x14ac:dyDescent="0.2">
      <c r="B3500" t="s">
        <v>8219</v>
      </c>
      <c r="C3500">
        <v>20</v>
      </c>
    </row>
    <row r="3501" spans="2:3" x14ac:dyDescent="0.2">
      <c r="B3501" t="s">
        <v>8219</v>
      </c>
      <c r="C3501">
        <v>19</v>
      </c>
    </row>
    <row r="3502" spans="2:3" x14ac:dyDescent="0.2">
      <c r="B3502" t="s">
        <v>8219</v>
      </c>
      <c r="C3502">
        <v>19</v>
      </c>
    </row>
    <row r="3503" spans="2:3" x14ac:dyDescent="0.2">
      <c r="B3503" t="s">
        <v>8219</v>
      </c>
      <c r="C3503">
        <v>19</v>
      </c>
    </row>
    <row r="3504" spans="2:3" x14ac:dyDescent="0.2">
      <c r="B3504" t="s">
        <v>8219</v>
      </c>
      <c r="C3504">
        <v>19</v>
      </c>
    </row>
    <row r="3505" spans="2:3" x14ac:dyDescent="0.2">
      <c r="B3505" t="s">
        <v>8219</v>
      </c>
      <c r="C3505">
        <v>19</v>
      </c>
    </row>
    <row r="3506" spans="2:3" x14ac:dyDescent="0.2">
      <c r="B3506" t="s">
        <v>8219</v>
      </c>
      <c r="C3506">
        <v>19</v>
      </c>
    </row>
    <row r="3507" spans="2:3" x14ac:dyDescent="0.2">
      <c r="B3507" t="s">
        <v>8219</v>
      </c>
      <c r="C3507">
        <v>19</v>
      </c>
    </row>
    <row r="3508" spans="2:3" x14ac:dyDescent="0.2">
      <c r="B3508" t="s">
        <v>8219</v>
      </c>
      <c r="C3508">
        <v>19</v>
      </c>
    </row>
    <row r="3509" spans="2:3" x14ac:dyDescent="0.2">
      <c r="B3509" t="s">
        <v>8219</v>
      </c>
      <c r="C3509">
        <v>19</v>
      </c>
    </row>
    <row r="3510" spans="2:3" x14ac:dyDescent="0.2">
      <c r="B3510" t="s">
        <v>8219</v>
      </c>
      <c r="C3510">
        <v>19</v>
      </c>
    </row>
    <row r="3511" spans="2:3" x14ac:dyDescent="0.2">
      <c r="B3511" t="s">
        <v>8219</v>
      </c>
      <c r="C3511">
        <v>19</v>
      </c>
    </row>
    <row r="3512" spans="2:3" x14ac:dyDescent="0.2">
      <c r="B3512" t="s">
        <v>8219</v>
      </c>
      <c r="C3512">
        <v>19</v>
      </c>
    </row>
    <row r="3513" spans="2:3" x14ac:dyDescent="0.2">
      <c r="B3513" t="s">
        <v>8219</v>
      </c>
      <c r="C3513">
        <v>19</v>
      </c>
    </row>
    <row r="3514" spans="2:3" x14ac:dyDescent="0.2">
      <c r="B3514" t="s">
        <v>8219</v>
      </c>
      <c r="C3514">
        <v>19</v>
      </c>
    </row>
    <row r="3515" spans="2:3" x14ac:dyDescent="0.2">
      <c r="B3515" t="s">
        <v>8219</v>
      </c>
      <c r="C3515">
        <v>19</v>
      </c>
    </row>
    <row r="3516" spans="2:3" x14ac:dyDescent="0.2">
      <c r="B3516" t="s">
        <v>8219</v>
      </c>
      <c r="C3516">
        <v>19</v>
      </c>
    </row>
    <row r="3517" spans="2:3" x14ac:dyDescent="0.2">
      <c r="B3517" t="s">
        <v>8219</v>
      </c>
      <c r="C3517">
        <v>19</v>
      </c>
    </row>
    <row r="3518" spans="2:3" x14ac:dyDescent="0.2">
      <c r="B3518" t="s">
        <v>8219</v>
      </c>
      <c r="C3518">
        <v>19</v>
      </c>
    </row>
    <row r="3519" spans="2:3" x14ac:dyDescent="0.2">
      <c r="B3519" t="s">
        <v>8219</v>
      </c>
      <c r="C3519">
        <v>19</v>
      </c>
    </row>
    <row r="3520" spans="2:3" x14ac:dyDescent="0.2">
      <c r="B3520" t="s">
        <v>8219</v>
      </c>
      <c r="C3520">
        <v>19</v>
      </c>
    </row>
    <row r="3521" spans="2:3" x14ac:dyDescent="0.2">
      <c r="B3521" t="s">
        <v>8219</v>
      </c>
      <c r="C3521">
        <v>19</v>
      </c>
    </row>
    <row r="3522" spans="2:3" x14ac:dyDescent="0.2">
      <c r="B3522" t="s">
        <v>8219</v>
      </c>
      <c r="C3522">
        <v>19</v>
      </c>
    </row>
    <row r="3523" spans="2:3" x14ac:dyDescent="0.2">
      <c r="B3523" t="s">
        <v>8219</v>
      </c>
      <c r="C3523">
        <v>19</v>
      </c>
    </row>
    <row r="3524" spans="2:3" x14ac:dyDescent="0.2">
      <c r="B3524" t="s">
        <v>8219</v>
      </c>
      <c r="C3524">
        <v>19</v>
      </c>
    </row>
    <row r="3525" spans="2:3" x14ac:dyDescent="0.2">
      <c r="B3525" t="s">
        <v>8219</v>
      </c>
      <c r="C3525">
        <v>19</v>
      </c>
    </row>
    <row r="3526" spans="2:3" x14ac:dyDescent="0.2">
      <c r="B3526" t="s">
        <v>8219</v>
      </c>
      <c r="C3526">
        <v>18</v>
      </c>
    </row>
    <row r="3527" spans="2:3" x14ac:dyDescent="0.2">
      <c r="B3527" t="s">
        <v>8219</v>
      </c>
      <c r="C3527">
        <v>18</v>
      </c>
    </row>
    <row r="3528" spans="2:3" x14ac:dyDescent="0.2">
      <c r="B3528" t="s">
        <v>8219</v>
      </c>
      <c r="C3528">
        <v>18</v>
      </c>
    </row>
    <row r="3529" spans="2:3" x14ac:dyDescent="0.2">
      <c r="B3529" t="s">
        <v>8219</v>
      </c>
      <c r="C3529">
        <v>18</v>
      </c>
    </row>
    <row r="3530" spans="2:3" x14ac:dyDescent="0.2">
      <c r="B3530" t="s">
        <v>8219</v>
      </c>
      <c r="C3530">
        <v>18</v>
      </c>
    </row>
    <row r="3531" spans="2:3" x14ac:dyDescent="0.2">
      <c r="B3531" t="s">
        <v>8219</v>
      </c>
      <c r="C3531">
        <v>18</v>
      </c>
    </row>
    <row r="3532" spans="2:3" x14ac:dyDescent="0.2">
      <c r="B3532" t="s">
        <v>8219</v>
      </c>
      <c r="C3532">
        <v>18</v>
      </c>
    </row>
    <row r="3533" spans="2:3" x14ac:dyDescent="0.2">
      <c r="B3533" t="s">
        <v>8219</v>
      </c>
      <c r="C3533">
        <v>18</v>
      </c>
    </row>
    <row r="3534" spans="2:3" x14ac:dyDescent="0.2">
      <c r="B3534" t="s">
        <v>8219</v>
      </c>
      <c r="C3534">
        <v>18</v>
      </c>
    </row>
    <row r="3535" spans="2:3" x14ac:dyDescent="0.2">
      <c r="B3535" t="s">
        <v>8219</v>
      </c>
      <c r="C3535">
        <v>18</v>
      </c>
    </row>
    <row r="3536" spans="2:3" x14ac:dyDescent="0.2">
      <c r="B3536" t="s">
        <v>8219</v>
      </c>
      <c r="C3536">
        <v>18</v>
      </c>
    </row>
    <row r="3537" spans="2:3" x14ac:dyDescent="0.2">
      <c r="B3537" t="s">
        <v>8219</v>
      </c>
      <c r="C3537">
        <v>18</v>
      </c>
    </row>
    <row r="3538" spans="2:3" x14ac:dyDescent="0.2">
      <c r="B3538" t="s">
        <v>8219</v>
      </c>
      <c r="C3538">
        <v>18</v>
      </c>
    </row>
    <row r="3539" spans="2:3" x14ac:dyDescent="0.2">
      <c r="B3539" t="s">
        <v>8219</v>
      </c>
      <c r="C3539">
        <v>18</v>
      </c>
    </row>
    <row r="3540" spans="2:3" x14ac:dyDescent="0.2">
      <c r="B3540" t="s">
        <v>8219</v>
      </c>
      <c r="C3540">
        <v>18</v>
      </c>
    </row>
    <row r="3541" spans="2:3" x14ac:dyDescent="0.2">
      <c r="B3541" t="s">
        <v>8219</v>
      </c>
      <c r="C3541">
        <v>18</v>
      </c>
    </row>
    <row r="3542" spans="2:3" x14ac:dyDescent="0.2">
      <c r="B3542" t="s">
        <v>8219</v>
      </c>
      <c r="C3542">
        <v>18</v>
      </c>
    </row>
    <row r="3543" spans="2:3" x14ac:dyDescent="0.2">
      <c r="B3543" t="s">
        <v>8219</v>
      </c>
      <c r="C3543">
        <v>18</v>
      </c>
    </row>
    <row r="3544" spans="2:3" x14ac:dyDescent="0.2">
      <c r="B3544" t="s">
        <v>8219</v>
      </c>
      <c r="C3544">
        <v>18</v>
      </c>
    </row>
    <row r="3545" spans="2:3" x14ac:dyDescent="0.2">
      <c r="B3545" t="s">
        <v>8219</v>
      </c>
      <c r="C3545">
        <v>18</v>
      </c>
    </row>
    <row r="3546" spans="2:3" x14ac:dyDescent="0.2">
      <c r="B3546" t="s">
        <v>8219</v>
      </c>
      <c r="C3546">
        <v>18</v>
      </c>
    </row>
    <row r="3547" spans="2:3" x14ac:dyDescent="0.2">
      <c r="B3547" t="s">
        <v>8219</v>
      </c>
      <c r="C3547">
        <v>17</v>
      </c>
    </row>
    <row r="3548" spans="2:3" x14ac:dyDescent="0.2">
      <c r="B3548" t="s">
        <v>8219</v>
      </c>
      <c r="C3548">
        <v>17</v>
      </c>
    </row>
    <row r="3549" spans="2:3" x14ac:dyDescent="0.2">
      <c r="B3549" t="s">
        <v>8219</v>
      </c>
      <c r="C3549">
        <v>17</v>
      </c>
    </row>
    <row r="3550" spans="2:3" x14ac:dyDescent="0.2">
      <c r="B3550" t="s">
        <v>8219</v>
      </c>
      <c r="C3550">
        <v>17</v>
      </c>
    </row>
    <row r="3551" spans="2:3" x14ac:dyDescent="0.2">
      <c r="B3551" t="s">
        <v>8219</v>
      </c>
      <c r="C3551">
        <v>17</v>
      </c>
    </row>
    <row r="3552" spans="2:3" x14ac:dyDescent="0.2">
      <c r="B3552" t="s">
        <v>8219</v>
      </c>
      <c r="C3552">
        <v>17</v>
      </c>
    </row>
    <row r="3553" spans="2:3" x14ac:dyDescent="0.2">
      <c r="B3553" t="s">
        <v>8219</v>
      </c>
      <c r="C3553">
        <v>17</v>
      </c>
    </row>
    <row r="3554" spans="2:3" x14ac:dyDescent="0.2">
      <c r="B3554" t="s">
        <v>8219</v>
      </c>
      <c r="C3554">
        <v>17</v>
      </c>
    </row>
    <row r="3555" spans="2:3" x14ac:dyDescent="0.2">
      <c r="B3555" t="s">
        <v>8219</v>
      </c>
      <c r="C3555">
        <v>17</v>
      </c>
    </row>
    <row r="3556" spans="2:3" x14ac:dyDescent="0.2">
      <c r="B3556" t="s">
        <v>8219</v>
      </c>
      <c r="C3556">
        <v>17</v>
      </c>
    </row>
    <row r="3557" spans="2:3" x14ac:dyDescent="0.2">
      <c r="B3557" t="s">
        <v>8219</v>
      </c>
      <c r="C3557">
        <v>17</v>
      </c>
    </row>
    <row r="3558" spans="2:3" x14ac:dyDescent="0.2">
      <c r="B3558" t="s">
        <v>8219</v>
      </c>
      <c r="C3558">
        <v>17</v>
      </c>
    </row>
    <row r="3559" spans="2:3" x14ac:dyDescent="0.2">
      <c r="B3559" t="s">
        <v>8219</v>
      </c>
      <c r="C3559">
        <v>17</v>
      </c>
    </row>
    <row r="3560" spans="2:3" x14ac:dyDescent="0.2">
      <c r="B3560" t="s">
        <v>8219</v>
      </c>
      <c r="C3560">
        <v>17</v>
      </c>
    </row>
    <row r="3561" spans="2:3" x14ac:dyDescent="0.2">
      <c r="B3561" t="s">
        <v>8219</v>
      </c>
      <c r="C3561">
        <v>17</v>
      </c>
    </row>
    <row r="3562" spans="2:3" x14ac:dyDescent="0.2">
      <c r="B3562" t="s">
        <v>8219</v>
      </c>
      <c r="C3562">
        <v>17</v>
      </c>
    </row>
    <row r="3563" spans="2:3" x14ac:dyDescent="0.2">
      <c r="B3563" t="s">
        <v>8219</v>
      </c>
      <c r="C3563">
        <v>17</v>
      </c>
    </row>
    <row r="3564" spans="2:3" x14ac:dyDescent="0.2">
      <c r="B3564" t="s">
        <v>8219</v>
      </c>
      <c r="C3564">
        <v>17</v>
      </c>
    </row>
    <row r="3565" spans="2:3" x14ac:dyDescent="0.2">
      <c r="B3565" t="s">
        <v>8219</v>
      </c>
      <c r="C3565">
        <v>17</v>
      </c>
    </row>
    <row r="3566" spans="2:3" x14ac:dyDescent="0.2">
      <c r="B3566" t="s">
        <v>8219</v>
      </c>
      <c r="C3566">
        <v>17</v>
      </c>
    </row>
    <row r="3567" spans="2:3" x14ac:dyDescent="0.2">
      <c r="B3567" t="s">
        <v>8219</v>
      </c>
      <c r="C3567">
        <v>17</v>
      </c>
    </row>
    <row r="3568" spans="2:3" x14ac:dyDescent="0.2">
      <c r="B3568" t="s">
        <v>8219</v>
      </c>
      <c r="C3568">
        <v>17</v>
      </c>
    </row>
    <row r="3569" spans="2:3" x14ac:dyDescent="0.2">
      <c r="B3569" t="s">
        <v>8219</v>
      </c>
      <c r="C3569">
        <v>17</v>
      </c>
    </row>
    <row r="3570" spans="2:3" x14ac:dyDescent="0.2">
      <c r="B3570" t="s">
        <v>8219</v>
      </c>
      <c r="C3570">
        <v>17</v>
      </c>
    </row>
    <row r="3571" spans="2:3" x14ac:dyDescent="0.2">
      <c r="B3571" t="s">
        <v>8219</v>
      </c>
      <c r="C3571">
        <v>17</v>
      </c>
    </row>
    <row r="3572" spans="2:3" x14ac:dyDescent="0.2">
      <c r="B3572" t="s">
        <v>8219</v>
      </c>
      <c r="C3572">
        <v>17</v>
      </c>
    </row>
    <row r="3573" spans="2:3" x14ac:dyDescent="0.2">
      <c r="B3573" t="s">
        <v>8219</v>
      </c>
      <c r="C3573">
        <v>17</v>
      </c>
    </row>
    <row r="3574" spans="2:3" x14ac:dyDescent="0.2">
      <c r="B3574" t="s">
        <v>8219</v>
      </c>
      <c r="C3574">
        <v>17</v>
      </c>
    </row>
    <row r="3575" spans="2:3" x14ac:dyDescent="0.2">
      <c r="B3575" t="s">
        <v>8219</v>
      </c>
      <c r="C3575">
        <v>17</v>
      </c>
    </row>
    <row r="3576" spans="2:3" x14ac:dyDescent="0.2">
      <c r="B3576" t="s">
        <v>8219</v>
      </c>
      <c r="C3576">
        <v>17</v>
      </c>
    </row>
    <row r="3577" spans="2:3" x14ac:dyDescent="0.2">
      <c r="B3577" t="s">
        <v>8219</v>
      </c>
      <c r="C3577">
        <v>17</v>
      </c>
    </row>
    <row r="3578" spans="2:3" x14ac:dyDescent="0.2">
      <c r="B3578" t="s">
        <v>8219</v>
      </c>
      <c r="C3578">
        <v>17</v>
      </c>
    </row>
    <row r="3579" spans="2:3" x14ac:dyDescent="0.2">
      <c r="B3579" t="s">
        <v>8219</v>
      </c>
      <c r="C3579">
        <v>17</v>
      </c>
    </row>
    <row r="3580" spans="2:3" x14ac:dyDescent="0.2">
      <c r="B3580" t="s">
        <v>8219</v>
      </c>
      <c r="C3580">
        <v>17</v>
      </c>
    </row>
    <row r="3581" spans="2:3" x14ac:dyDescent="0.2">
      <c r="B3581" t="s">
        <v>8219</v>
      </c>
      <c r="C3581">
        <v>16</v>
      </c>
    </row>
    <row r="3582" spans="2:3" x14ac:dyDescent="0.2">
      <c r="B3582" t="s">
        <v>8219</v>
      </c>
      <c r="C3582">
        <v>16</v>
      </c>
    </row>
    <row r="3583" spans="2:3" x14ac:dyDescent="0.2">
      <c r="B3583" t="s">
        <v>8219</v>
      </c>
      <c r="C3583">
        <v>16</v>
      </c>
    </row>
    <row r="3584" spans="2:3" x14ac:dyDescent="0.2">
      <c r="B3584" t="s">
        <v>8219</v>
      </c>
      <c r="C3584">
        <v>16</v>
      </c>
    </row>
    <row r="3585" spans="2:3" x14ac:dyDescent="0.2">
      <c r="B3585" t="s">
        <v>8219</v>
      </c>
      <c r="C3585">
        <v>16</v>
      </c>
    </row>
    <row r="3586" spans="2:3" x14ac:dyDescent="0.2">
      <c r="B3586" t="s">
        <v>8219</v>
      </c>
      <c r="C3586">
        <v>16</v>
      </c>
    </row>
    <row r="3587" spans="2:3" x14ac:dyDescent="0.2">
      <c r="B3587" t="s">
        <v>8219</v>
      </c>
      <c r="C3587">
        <v>16</v>
      </c>
    </row>
    <row r="3588" spans="2:3" x14ac:dyDescent="0.2">
      <c r="B3588" t="s">
        <v>8219</v>
      </c>
      <c r="C3588">
        <v>16</v>
      </c>
    </row>
    <row r="3589" spans="2:3" x14ac:dyDescent="0.2">
      <c r="B3589" t="s">
        <v>8219</v>
      </c>
      <c r="C3589">
        <v>16</v>
      </c>
    </row>
    <row r="3590" spans="2:3" x14ac:dyDescent="0.2">
      <c r="B3590" t="s">
        <v>8219</v>
      </c>
      <c r="C3590">
        <v>16</v>
      </c>
    </row>
    <row r="3591" spans="2:3" x14ac:dyDescent="0.2">
      <c r="B3591" t="s">
        <v>8219</v>
      </c>
      <c r="C3591">
        <v>16</v>
      </c>
    </row>
    <row r="3592" spans="2:3" x14ac:dyDescent="0.2">
      <c r="B3592" t="s">
        <v>8219</v>
      </c>
      <c r="C3592">
        <v>16</v>
      </c>
    </row>
    <row r="3593" spans="2:3" x14ac:dyDescent="0.2">
      <c r="B3593" t="s">
        <v>8219</v>
      </c>
      <c r="C3593">
        <v>16</v>
      </c>
    </row>
    <row r="3594" spans="2:3" x14ac:dyDescent="0.2">
      <c r="B3594" t="s">
        <v>8219</v>
      </c>
      <c r="C3594">
        <v>15</v>
      </c>
    </row>
    <row r="3595" spans="2:3" x14ac:dyDescent="0.2">
      <c r="B3595" t="s">
        <v>8219</v>
      </c>
      <c r="C3595">
        <v>15</v>
      </c>
    </row>
    <row r="3596" spans="2:3" x14ac:dyDescent="0.2">
      <c r="B3596" t="s">
        <v>8219</v>
      </c>
      <c r="C3596">
        <v>15</v>
      </c>
    </row>
    <row r="3597" spans="2:3" x14ac:dyDescent="0.2">
      <c r="B3597" t="s">
        <v>8219</v>
      </c>
      <c r="C3597">
        <v>15</v>
      </c>
    </row>
    <row r="3598" spans="2:3" x14ac:dyDescent="0.2">
      <c r="B3598" t="s">
        <v>8219</v>
      </c>
      <c r="C3598">
        <v>15</v>
      </c>
    </row>
    <row r="3599" spans="2:3" x14ac:dyDescent="0.2">
      <c r="B3599" t="s">
        <v>8219</v>
      </c>
      <c r="C3599">
        <v>15</v>
      </c>
    </row>
    <row r="3600" spans="2:3" x14ac:dyDescent="0.2">
      <c r="B3600" t="s">
        <v>8219</v>
      </c>
      <c r="C3600">
        <v>15</v>
      </c>
    </row>
    <row r="3601" spans="2:3" x14ac:dyDescent="0.2">
      <c r="B3601" t="s">
        <v>8219</v>
      </c>
      <c r="C3601">
        <v>15</v>
      </c>
    </row>
    <row r="3602" spans="2:3" x14ac:dyDescent="0.2">
      <c r="B3602" t="s">
        <v>8219</v>
      </c>
      <c r="C3602">
        <v>15</v>
      </c>
    </row>
    <row r="3603" spans="2:3" x14ac:dyDescent="0.2">
      <c r="B3603" t="s">
        <v>8219</v>
      </c>
      <c r="C3603">
        <v>15</v>
      </c>
    </row>
    <row r="3604" spans="2:3" x14ac:dyDescent="0.2">
      <c r="B3604" t="s">
        <v>8219</v>
      </c>
      <c r="C3604">
        <v>15</v>
      </c>
    </row>
    <row r="3605" spans="2:3" x14ac:dyDescent="0.2">
      <c r="B3605" t="s">
        <v>8219</v>
      </c>
      <c r="C3605">
        <v>15</v>
      </c>
    </row>
    <row r="3606" spans="2:3" x14ac:dyDescent="0.2">
      <c r="B3606" t="s">
        <v>8219</v>
      </c>
      <c r="C3606">
        <v>15</v>
      </c>
    </row>
    <row r="3607" spans="2:3" x14ac:dyDescent="0.2">
      <c r="B3607" t="s">
        <v>8219</v>
      </c>
      <c r="C3607">
        <v>15</v>
      </c>
    </row>
    <row r="3608" spans="2:3" x14ac:dyDescent="0.2">
      <c r="B3608" t="s">
        <v>8219</v>
      </c>
      <c r="C3608">
        <v>15</v>
      </c>
    </row>
    <row r="3609" spans="2:3" x14ac:dyDescent="0.2">
      <c r="B3609" t="s">
        <v>8219</v>
      </c>
      <c r="C3609">
        <v>15</v>
      </c>
    </row>
    <row r="3610" spans="2:3" x14ac:dyDescent="0.2">
      <c r="B3610" t="s">
        <v>8219</v>
      </c>
      <c r="C3610">
        <v>15</v>
      </c>
    </row>
    <row r="3611" spans="2:3" x14ac:dyDescent="0.2">
      <c r="B3611" t="s">
        <v>8219</v>
      </c>
      <c r="C3611">
        <v>15</v>
      </c>
    </row>
    <row r="3612" spans="2:3" x14ac:dyDescent="0.2">
      <c r="B3612" t="s">
        <v>8219</v>
      </c>
      <c r="C3612">
        <v>15</v>
      </c>
    </row>
    <row r="3613" spans="2:3" x14ac:dyDescent="0.2">
      <c r="B3613" t="s">
        <v>8219</v>
      </c>
      <c r="C3613">
        <v>15</v>
      </c>
    </row>
    <row r="3614" spans="2:3" x14ac:dyDescent="0.2">
      <c r="B3614" t="s">
        <v>8219</v>
      </c>
      <c r="C3614">
        <v>15</v>
      </c>
    </row>
    <row r="3615" spans="2:3" x14ac:dyDescent="0.2">
      <c r="B3615" t="s">
        <v>8219</v>
      </c>
      <c r="C3615">
        <v>15</v>
      </c>
    </row>
    <row r="3616" spans="2:3" x14ac:dyDescent="0.2">
      <c r="B3616" t="s">
        <v>8219</v>
      </c>
      <c r="C3616">
        <v>15</v>
      </c>
    </row>
    <row r="3617" spans="2:3" x14ac:dyDescent="0.2">
      <c r="B3617" t="s">
        <v>8219</v>
      </c>
      <c r="C3617">
        <v>15</v>
      </c>
    </row>
    <row r="3618" spans="2:3" x14ac:dyDescent="0.2">
      <c r="B3618" t="s">
        <v>8219</v>
      </c>
      <c r="C3618">
        <v>15</v>
      </c>
    </row>
    <row r="3619" spans="2:3" x14ac:dyDescent="0.2">
      <c r="B3619" t="s">
        <v>8219</v>
      </c>
      <c r="C3619">
        <v>15</v>
      </c>
    </row>
    <row r="3620" spans="2:3" x14ac:dyDescent="0.2">
      <c r="B3620" t="s">
        <v>8219</v>
      </c>
      <c r="C3620">
        <v>14</v>
      </c>
    </row>
    <row r="3621" spans="2:3" x14ac:dyDescent="0.2">
      <c r="B3621" t="s">
        <v>8219</v>
      </c>
      <c r="C3621">
        <v>14</v>
      </c>
    </row>
    <row r="3622" spans="2:3" x14ac:dyDescent="0.2">
      <c r="B3622" t="s">
        <v>8219</v>
      </c>
      <c r="C3622">
        <v>14</v>
      </c>
    </row>
    <row r="3623" spans="2:3" x14ac:dyDescent="0.2">
      <c r="B3623" t="s">
        <v>8219</v>
      </c>
      <c r="C3623">
        <v>14</v>
      </c>
    </row>
    <row r="3624" spans="2:3" x14ac:dyDescent="0.2">
      <c r="B3624" t="s">
        <v>8219</v>
      </c>
      <c r="C3624">
        <v>14</v>
      </c>
    </row>
    <row r="3625" spans="2:3" x14ac:dyDescent="0.2">
      <c r="B3625" t="s">
        <v>8219</v>
      </c>
      <c r="C3625">
        <v>14</v>
      </c>
    </row>
    <row r="3626" spans="2:3" x14ac:dyDescent="0.2">
      <c r="B3626" t="s">
        <v>8219</v>
      </c>
      <c r="C3626">
        <v>14</v>
      </c>
    </row>
    <row r="3627" spans="2:3" x14ac:dyDescent="0.2">
      <c r="B3627" t="s">
        <v>8219</v>
      </c>
      <c r="C3627">
        <v>14</v>
      </c>
    </row>
    <row r="3628" spans="2:3" x14ac:dyDescent="0.2">
      <c r="B3628" t="s">
        <v>8219</v>
      </c>
      <c r="C3628">
        <v>14</v>
      </c>
    </row>
    <row r="3629" spans="2:3" x14ac:dyDescent="0.2">
      <c r="B3629" t="s">
        <v>8219</v>
      </c>
      <c r="C3629">
        <v>14</v>
      </c>
    </row>
    <row r="3630" spans="2:3" hidden="1" x14ac:dyDescent="0.2">
      <c r="B3630" t="s">
        <v>8221</v>
      </c>
      <c r="C3630">
        <v>0</v>
      </c>
    </row>
    <row r="3631" spans="2:3" hidden="1" x14ac:dyDescent="0.2">
      <c r="B3631" t="s">
        <v>8221</v>
      </c>
      <c r="C3631">
        <v>2</v>
      </c>
    </row>
    <row r="3632" spans="2:3" hidden="1" x14ac:dyDescent="0.2">
      <c r="B3632" t="s">
        <v>8221</v>
      </c>
      <c r="C3632">
        <v>1</v>
      </c>
    </row>
    <row r="3633" spans="2:3" hidden="1" x14ac:dyDescent="0.2">
      <c r="B3633" t="s">
        <v>8221</v>
      </c>
      <c r="C3633">
        <v>59</v>
      </c>
    </row>
    <row r="3634" spans="2:3" hidden="1" x14ac:dyDescent="0.2">
      <c r="B3634" t="s">
        <v>8221</v>
      </c>
      <c r="C3634">
        <v>1</v>
      </c>
    </row>
    <row r="3635" spans="2:3" hidden="1" x14ac:dyDescent="0.2">
      <c r="B3635" t="s">
        <v>8221</v>
      </c>
      <c r="C3635">
        <v>31</v>
      </c>
    </row>
    <row r="3636" spans="2:3" hidden="1" x14ac:dyDescent="0.2">
      <c r="B3636" t="s">
        <v>8221</v>
      </c>
      <c r="C3636">
        <v>18</v>
      </c>
    </row>
    <row r="3637" spans="2:3" hidden="1" x14ac:dyDescent="0.2">
      <c r="B3637" t="s">
        <v>8221</v>
      </c>
      <c r="C3637">
        <v>10</v>
      </c>
    </row>
    <row r="3638" spans="2:3" hidden="1" x14ac:dyDescent="0.2">
      <c r="B3638" t="s">
        <v>8221</v>
      </c>
      <c r="C3638">
        <v>0</v>
      </c>
    </row>
    <row r="3639" spans="2:3" hidden="1" x14ac:dyDescent="0.2">
      <c r="B3639" t="s">
        <v>8221</v>
      </c>
      <c r="C3639">
        <v>14</v>
      </c>
    </row>
    <row r="3640" spans="2:3" hidden="1" x14ac:dyDescent="0.2">
      <c r="B3640" t="s">
        <v>8221</v>
      </c>
      <c r="C3640">
        <v>2</v>
      </c>
    </row>
    <row r="3641" spans="2:3" hidden="1" x14ac:dyDescent="0.2">
      <c r="B3641" t="s">
        <v>8221</v>
      </c>
      <c r="C3641">
        <v>1</v>
      </c>
    </row>
    <row r="3642" spans="2:3" hidden="1" x14ac:dyDescent="0.2">
      <c r="B3642" t="s">
        <v>8221</v>
      </c>
      <c r="C3642">
        <v>3</v>
      </c>
    </row>
    <row r="3643" spans="2:3" hidden="1" x14ac:dyDescent="0.2">
      <c r="B3643" t="s">
        <v>8221</v>
      </c>
      <c r="C3643">
        <v>0</v>
      </c>
    </row>
    <row r="3644" spans="2:3" hidden="1" x14ac:dyDescent="0.2">
      <c r="B3644" t="s">
        <v>8221</v>
      </c>
      <c r="C3644">
        <v>2</v>
      </c>
    </row>
    <row r="3645" spans="2:3" hidden="1" x14ac:dyDescent="0.2">
      <c r="B3645" t="s">
        <v>8221</v>
      </c>
      <c r="C3645">
        <v>0</v>
      </c>
    </row>
    <row r="3646" spans="2:3" hidden="1" x14ac:dyDescent="0.2">
      <c r="B3646" t="s">
        <v>8221</v>
      </c>
      <c r="C3646">
        <v>12</v>
      </c>
    </row>
    <row r="3647" spans="2:3" hidden="1" x14ac:dyDescent="0.2">
      <c r="B3647" t="s">
        <v>8221</v>
      </c>
      <c r="C3647">
        <v>1</v>
      </c>
    </row>
    <row r="3648" spans="2:3" hidden="1" x14ac:dyDescent="0.2">
      <c r="B3648" t="s">
        <v>8221</v>
      </c>
      <c r="C3648">
        <v>8</v>
      </c>
    </row>
    <row r="3649" spans="2:3" hidden="1" x14ac:dyDescent="0.2">
      <c r="B3649" t="s">
        <v>8221</v>
      </c>
      <c r="C3649">
        <v>2</v>
      </c>
    </row>
    <row r="3650" spans="2:3" x14ac:dyDescent="0.2">
      <c r="B3650" t="s">
        <v>8219</v>
      </c>
      <c r="C3650">
        <v>14</v>
      </c>
    </row>
    <row r="3651" spans="2:3" x14ac:dyDescent="0.2">
      <c r="B3651" t="s">
        <v>8219</v>
      </c>
      <c r="C3651">
        <v>14</v>
      </c>
    </row>
    <row r="3652" spans="2:3" x14ac:dyDescent="0.2">
      <c r="B3652" t="s">
        <v>8219</v>
      </c>
      <c r="C3652">
        <v>14</v>
      </c>
    </row>
    <row r="3653" spans="2:3" x14ac:dyDescent="0.2">
      <c r="B3653" t="s">
        <v>8219</v>
      </c>
      <c r="C3653">
        <v>14</v>
      </c>
    </row>
    <row r="3654" spans="2:3" x14ac:dyDescent="0.2">
      <c r="B3654" t="s">
        <v>8219</v>
      </c>
      <c r="C3654">
        <v>14</v>
      </c>
    </row>
    <row r="3655" spans="2:3" x14ac:dyDescent="0.2">
      <c r="B3655" t="s">
        <v>8219</v>
      </c>
      <c r="C3655">
        <v>14</v>
      </c>
    </row>
    <row r="3656" spans="2:3" x14ac:dyDescent="0.2">
      <c r="B3656" t="s">
        <v>8219</v>
      </c>
      <c r="C3656">
        <v>14</v>
      </c>
    </row>
    <row r="3657" spans="2:3" x14ac:dyDescent="0.2">
      <c r="B3657" t="s">
        <v>8219</v>
      </c>
      <c r="C3657">
        <v>14</v>
      </c>
    </row>
    <row r="3658" spans="2:3" x14ac:dyDescent="0.2">
      <c r="B3658" t="s">
        <v>8219</v>
      </c>
      <c r="C3658">
        <v>14</v>
      </c>
    </row>
    <row r="3659" spans="2:3" x14ac:dyDescent="0.2">
      <c r="B3659" t="s">
        <v>8219</v>
      </c>
      <c r="C3659">
        <v>14</v>
      </c>
    </row>
    <row r="3660" spans="2:3" x14ac:dyDescent="0.2">
      <c r="B3660" t="s">
        <v>8219</v>
      </c>
      <c r="C3660">
        <v>14</v>
      </c>
    </row>
    <row r="3661" spans="2:3" x14ac:dyDescent="0.2">
      <c r="B3661" t="s">
        <v>8219</v>
      </c>
      <c r="C3661">
        <v>14</v>
      </c>
    </row>
    <row r="3662" spans="2:3" x14ac:dyDescent="0.2">
      <c r="B3662" t="s">
        <v>8219</v>
      </c>
      <c r="C3662">
        <v>14</v>
      </c>
    </row>
    <row r="3663" spans="2:3" x14ac:dyDescent="0.2">
      <c r="B3663" t="s">
        <v>8219</v>
      </c>
      <c r="C3663">
        <v>14</v>
      </c>
    </row>
    <row r="3664" spans="2:3" x14ac:dyDescent="0.2">
      <c r="B3664" t="s">
        <v>8219</v>
      </c>
      <c r="C3664">
        <v>14</v>
      </c>
    </row>
    <row r="3665" spans="2:3" x14ac:dyDescent="0.2">
      <c r="B3665" t="s">
        <v>8219</v>
      </c>
      <c r="C3665">
        <v>14</v>
      </c>
    </row>
    <row r="3666" spans="2:3" x14ac:dyDescent="0.2">
      <c r="B3666" t="s">
        <v>8219</v>
      </c>
      <c r="C3666">
        <v>14</v>
      </c>
    </row>
    <row r="3667" spans="2:3" x14ac:dyDescent="0.2">
      <c r="B3667" t="s">
        <v>8219</v>
      </c>
      <c r="C3667">
        <v>14</v>
      </c>
    </row>
    <row r="3668" spans="2:3" x14ac:dyDescent="0.2">
      <c r="B3668" t="s">
        <v>8219</v>
      </c>
      <c r="C3668">
        <v>14</v>
      </c>
    </row>
    <row r="3669" spans="2:3" x14ac:dyDescent="0.2">
      <c r="B3669" t="s">
        <v>8219</v>
      </c>
      <c r="C3669">
        <v>14</v>
      </c>
    </row>
    <row r="3670" spans="2:3" x14ac:dyDescent="0.2">
      <c r="B3670" t="s">
        <v>8219</v>
      </c>
      <c r="C3670">
        <v>14</v>
      </c>
    </row>
    <row r="3671" spans="2:3" x14ac:dyDescent="0.2">
      <c r="B3671" t="s">
        <v>8219</v>
      </c>
      <c r="C3671">
        <v>13</v>
      </c>
    </row>
    <row r="3672" spans="2:3" x14ac:dyDescent="0.2">
      <c r="B3672" t="s">
        <v>8219</v>
      </c>
      <c r="C3672">
        <v>13</v>
      </c>
    </row>
    <row r="3673" spans="2:3" x14ac:dyDescent="0.2">
      <c r="B3673" t="s">
        <v>8219</v>
      </c>
      <c r="C3673">
        <v>13</v>
      </c>
    </row>
    <row r="3674" spans="2:3" x14ac:dyDescent="0.2">
      <c r="B3674" t="s">
        <v>8219</v>
      </c>
      <c r="C3674">
        <v>13</v>
      </c>
    </row>
    <row r="3675" spans="2:3" x14ac:dyDescent="0.2">
      <c r="B3675" t="s">
        <v>8219</v>
      </c>
      <c r="C3675">
        <v>13</v>
      </c>
    </row>
    <row r="3676" spans="2:3" x14ac:dyDescent="0.2">
      <c r="B3676" t="s">
        <v>8219</v>
      </c>
      <c r="C3676">
        <v>13</v>
      </c>
    </row>
    <row r="3677" spans="2:3" x14ac:dyDescent="0.2">
      <c r="B3677" t="s">
        <v>8219</v>
      </c>
      <c r="C3677">
        <v>13</v>
      </c>
    </row>
    <row r="3678" spans="2:3" x14ac:dyDescent="0.2">
      <c r="B3678" t="s">
        <v>8219</v>
      </c>
      <c r="C3678">
        <v>13</v>
      </c>
    </row>
    <row r="3679" spans="2:3" x14ac:dyDescent="0.2">
      <c r="B3679" t="s">
        <v>8219</v>
      </c>
      <c r="C3679">
        <v>13</v>
      </c>
    </row>
    <row r="3680" spans="2:3" x14ac:dyDescent="0.2">
      <c r="B3680" t="s">
        <v>8219</v>
      </c>
      <c r="C3680">
        <v>13</v>
      </c>
    </row>
    <row r="3681" spans="2:3" x14ac:dyDescent="0.2">
      <c r="B3681" t="s">
        <v>8219</v>
      </c>
      <c r="C3681">
        <v>13</v>
      </c>
    </row>
    <row r="3682" spans="2:3" x14ac:dyDescent="0.2">
      <c r="B3682" t="s">
        <v>8219</v>
      </c>
      <c r="C3682">
        <v>13</v>
      </c>
    </row>
    <row r="3683" spans="2:3" x14ac:dyDescent="0.2">
      <c r="B3683" t="s">
        <v>8219</v>
      </c>
      <c r="C3683">
        <v>13</v>
      </c>
    </row>
    <row r="3684" spans="2:3" x14ac:dyDescent="0.2">
      <c r="B3684" t="s">
        <v>8219</v>
      </c>
      <c r="C3684">
        <v>13</v>
      </c>
    </row>
    <row r="3685" spans="2:3" x14ac:dyDescent="0.2">
      <c r="B3685" t="s">
        <v>8219</v>
      </c>
      <c r="C3685">
        <v>13</v>
      </c>
    </row>
    <row r="3686" spans="2:3" x14ac:dyDescent="0.2">
      <c r="B3686" t="s">
        <v>8219</v>
      </c>
      <c r="C3686">
        <v>13</v>
      </c>
    </row>
    <row r="3687" spans="2:3" x14ac:dyDescent="0.2">
      <c r="B3687" t="s">
        <v>8219</v>
      </c>
      <c r="C3687">
        <v>13</v>
      </c>
    </row>
    <row r="3688" spans="2:3" x14ac:dyDescent="0.2">
      <c r="B3688" t="s">
        <v>8219</v>
      </c>
      <c r="C3688">
        <v>13</v>
      </c>
    </row>
    <row r="3689" spans="2:3" x14ac:dyDescent="0.2">
      <c r="B3689" t="s">
        <v>8219</v>
      </c>
      <c r="C3689">
        <v>13</v>
      </c>
    </row>
    <row r="3690" spans="2:3" x14ac:dyDescent="0.2">
      <c r="B3690" t="s">
        <v>8219</v>
      </c>
      <c r="C3690">
        <v>13</v>
      </c>
    </row>
    <row r="3691" spans="2:3" x14ac:dyDescent="0.2">
      <c r="B3691" t="s">
        <v>8219</v>
      </c>
      <c r="C3691">
        <v>13</v>
      </c>
    </row>
    <row r="3692" spans="2:3" x14ac:dyDescent="0.2">
      <c r="B3692" t="s">
        <v>8219</v>
      </c>
      <c r="C3692">
        <v>13</v>
      </c>
    </row>
    <row r="3693" spans="2:3" x14ac:dyDescent="0.2">
      <c r="B3693" t="s">
        <v>8219</v>
      </c>
      <c r="C3693">
        <v>13</v>
      </c>
    </row>
    <row r="3694" spans="2:3" x14ac:dyDescent="0.2">
      <c r="B3694" t="s">
        <v>8219</v>
      </c>
      <c r="C3694">
        <v>12</v>
      </c>
    </row>
    <row r="3695" spans="2:3" x14ac:dyDescent="0.2">
      <c r="B3695" t="s">
        <v>8219</v>
      </c>
      <c r="C3695">
        <v>12</v>
      </c>
    </row>
    <row r="3696" spans="2:3" x14ac:dyDescent="0.2">
      <c r="B3696" t="s">
        <v>8219</v>
      </c>
      <c r="C3696">
        <v>12</v>
      </c>
    </row>
    <row r="3697" spans="2:3" x14ac:dyDescent="0.2">
      <c r="B3697" t="s">
        <v>8219</v>
      </c>
      <c r="C3697">
        <v>12</v>
      </c>
    </row>
    <row r="3698" spans="2:3" x14ac:dyDescent="0.2">
      <c r="B3698" t="s">
        <v>8219</v>
      </c>
      <c r="C3698">
        <v>12</v>
      </c>
    </row>
    <row r="3699" spans="2:3" x14ac:dyDescent="0.2">
      <c r="B3699" t="s">
        <v>8219</v>
      </c>
      <c r="C3699">
        <v>12</v>
      </c>
    </row>
    <row r="3700" spans="2:3" x14ac:dyDescent="0.2">
      <c r="B3700" t="s">
        <v>8219</v>
      </c>
      <c r="C3700">
        <v>12</v>
      </c>
    </row>
    <row r="3701" spans="2:3" x14ac:dyDescent="0.2">
      <c r="B3701" t="s">
        <v>8219</v>
      </c>
      <c r="C3701">
        <v>12</v>
      </c>
    </row>
    <row r="3702" spans="2:3" x14ac:dyDescent="0.2">
      <c r="B3702" t="s">
        <v>8219</v>
      </c>
      <c r="C3702">
        <v>12</v>
      </c>
    </row>
    <row r="3703" spans="2:3" x14ac:dyDescent="0.2">
      <c r="B3703" t="s">
        <v>8219</v>
      </c>
      <c r="C3703">
        <v>12</v>
      </c>
    </row>
    <row r="3704" spans="2:3" x14ac:dyDescent="0.2">
      <c r="B3704" t="s">
        <v>8219</v>
      </c>
      <c r="C3704">
        <v>12</v>
      </c>
    </row>
    <row r="3705" spans="2:3" x14ac:dyDescent="0.2">
      <c r="B3705" t="s">
        <v>8219</v>
      </c>
      <c r="C3705">
        <v>11</v>
      </c>
    </row>
    <row r="3706" spans="2:3" x14ac:dyDescent="0.2">
      <c r="B3706" t="s">
        <v>8219</v>
      </c>
      <c r="C3706">
        <v>11</v>
      </c>
    </row>
    <row r="3707" spans="2:3" x14ac:dyDescent="0.2">
      <c r="B3707" t="s">
        <v>8219</v>
      </c>
      <c r="C3707">
        <v>11</v>
      </c>
    </row>
    <row r="3708" spans="2:3" x14ac:dyDescent="0.2">
      <c r="B3708" t="s">
        <v>8219</v>
      </c>
      <c r="C3708">
        <v>11</v>
      </c>
    </row>
    <row r="3709" spans="2:3" x14ac:dyDescent="0.2">
      <c r="B3709" t="s">
        <v>8219</v>
      </c>
      <c r="C3709">
        <v>11</v>
      </c>
    </row>
    <row r="3710" spans="2:3" x14ac:dyDescent="0.2">
      <c r="B3710" t="s">
        <v>8219</v>
      </c>
      <c r="C3710">
        <v>11</v>
      </c>
    </row>
    <row r="3711" spans="2:3" x14ac:dyDescent="0.2">
      <c r="B3711" t="s">
        <v>8219</v>
      </c>
      <c r="C3711">
        <v>11</v>
      </c>
    </row>
    <row r="3712" spans="2:3" x14ac:dyDescent="0.2">
      <c r="B3712" t="s">
        <v>8219</v>
      </c>
      <c r="C3712">
        <v>11</v>
      </c>
    </row>
    <row r="3713" spans="2:3" x14ac:dyDescent="0.2">
      <c r="B3713" t="s">
        <v>8219</v>
      </c>
      <c r="C3713">
        <v>11</v>
      </c>
    </row>
    <row r="3714" spans="2:3" x14ac:dyDescent="0.2">
      <c r="B3714" t="s">
        <v>8219</v>
      </c>
      <c r="C3714">
        <v>11</v>
      </c>
    </row>
    <row r="3715" spans="2:3" x14ac:dyDescent="0.2">
      <c r="B3715" t="s">
        <v>8219</v>
      </c>
      <c r="C3715">
        <v>11</v>
      </c>
    </row>
    <row r="3716" spans="2:3" x14ac:dyDescent="0.2">
      <c r="B3716" t="s">
        <v>8219</v>
      </c>
      <c r="C3716">
        <v>11</v>
      </c>
    </row>
    <row r="3717" spans="2:3" x14ac:dyDescent="0.2">
      <c r="B3717" t="s">
        <v>8219</v>
      </c>
      <c r="C3717">
        <v>11</v>
      </c>
    </row>
    <row r="3718" spans="2:3" x14ac:dyDescent="0.2">
      <c r="B3718" t="s">
        <v>8219</v>
      </c>
      <c r="C3718">
        <v>11</v>
      </c>
    </row>
    <row r="3719" spans="2:3" x14ac:dyDescent="0.2">
      <c r="B3719" t="s">
        <v>8219</v>
      </c>
      <c r="C3719">
        <v>11</v>
      </c>
    </row>
    <row r="3720" spans="2:3" x14ac:dyDescent="0.2">
      <c r="B3720" t="s">
        <v>8219</v>
      </c>
      <c r="C3720">
        <v>10</v>
      </c>
    </row>
    <row r="3721" spans="2:3" x14ac:dyDescent="0.2">
      <c r="B3721" t="s">
        <v>8219</v>
      </c>
      <c r="C3721">
        <v>10</v>
      </c>
    </row>
    <row r="3722" spans="2:3" x14ac:dyDescent="0.2">
      <c r="B3722" t="s">
        <v>8219</v>
      </c>
      <c r="C3722">
        <v>10</v>
      </c>
    </row>
    <row r="3723" spans="2:3" x14ac:dyDescent="0.2">
      <c r="B3723" t="s">
        <v>8219</v>
      </c>
      <c r="C3723">
        <v>10</v>
      </c>
    </row>
    <row r="3724" spans="2:3" x14ac:dyDescent="0.2">
      <c r="B3724" t="s">
        <v>8219</v>
      </c>
      <c r="C3724">
        <v>10</v>
      </c>
    </row>
    <row r="3725" spans="2:3" x14ac:dyDescent="0.2">
      <c r="B3725" t="s">
        <v>8219</v>
      </c>
      <c r="C3725">
        <v>10</v>
      </c>
    </row>
    <row r="3726" spans="2:3" x14ac:dyDescent="0.2">
      <c r="B3726" t="s">
        <v>8219</v>
      </c>
      <c r="C3726">
        <v>10</v>
      </c>
    </row>
    <row r="3727" spans="2:3" x14ac:dyDescent="0.2">
      <c r="B3727" t="s">
        <v>8219</v>
      </c>
      <c r="C3727">
        <v>10</v>
      </c>
    </row>
    <row r="3728" spans="2:3" x14ac:dyDescent="0.2">
      <c r="B3728" t="s">
        <v>8219</v>
      </c>
      <c r="C3728">
        <v>10</v>
      </c>
    </row>
    <row r="3729" spans="2:3" x14ac:dyDescent="0.2">
      <c r="B3729" t="s">
        <v>8219</v>
      </c>
      <c r="C3729">
        <v>10</v>
      </c>
    </row>
    <row r="3730" spans="2:3" hidden="1" x14ac:dyDescent="0.2">
      <c r="B3730" t="s">
        <v>8221</v>
      </c>
      <c r="C3730">
        <v>31</v>
      </c>
    </row>
    <row r="3731" spans="2:3" hidden="1" x14ac:dyDescent="0.2">
      <c r="B3731" t="s">
        <v>8221</v>
      </c>
      <c r="C3731">
        <v>5</v>
      </c>
    </row>
    <row r="3732" spans="2:3" hidden="1" x14ac:dyDescent="0.2">
      <c r="B3732" t="s">
        <v>8221</v>
      </c>
      <c r="C3732">
        <v>1</v>
      </c>
    </row>
    <row r="3733" spans="2:3" hidden="1" x14ac:dyDescent="0.2">
      <c r="B3733" t="s">
        <v>8221</v>
      </c>
      <c r="C3733">
        <v>12</v>
      </c>
    </row>
    <row r="3734" spans="2:3" hidden="1" x14ac:dyDescent="0.2">
      <c r="B3734" t="s">
        <v>8221</v>
      </c>
      <c r="C3734">
        <v>4</v>
      </c>
    </row>
    <row r="3735" spans="2:3" hidden="1" x14ac:dyDescent="0.2">
      <c r="B3735" t="s">
        <v>8221</v>
      </c>
      <c r="C3735">
        <v>0</v>
      </c>
    </row>
    <row r="3736" spans="2:3" hidden="1" x14ac:dyDescent="0.2">
      <c r="B3736" t="s">
        <v>8221</v>
      </c>
      <c r="C3736">
        <v>7</v>
      </c>
    </row>
    <row r="3737" spans="2:3" hidden="1" x14ac:dyDescent="0.2">
      <c r="B3737" t="s">
        <v>8221</v>
      </c>
      <c r="C3737">
        <v>2</v>
      </c>
    </row>
    <row r="3738" spans="2:3" hidden="1" x14ac:dyDescent="0.2">
      <c r="B3738" t="s">
        <v>8221</v>
      </c>
      <c r="C3738">
        <v>1</v>
      </c>
    </row>
    <row r="3739" spans="2:3" hidden="1" x14ac:dyDescent="0.2">
      <c r="B3739" t="s">
        <v>8221</v>
      </c>
      <c r="C3739">
        <v>4</v>
      </c>
    </row>
    <row r="3740" spans="2:3" hidden="1" x14ac:dyDescent="0.2">
      <c r="B3740" t="s">
        <v>8221</v>
      </c>
      <c r="C3740">
        <v>6</v>
      </c>
    </row>
    <row r="3741" spans="2:3" hidden="1" x14ac:dyDescent="0.2">
      <c r="B3741" t="s">
        <v>8221</v>
      </c>
      <c r="C3741">
        <v>8</v>
      </c>
    </row>
    <row r="3742" spans="2:3" hidden="1" x14ac:dyDescent="0.2">
      <c r="B3742" t="s">
        <v>8221</v>
      </c>
      <c r="C3742">
        <v>14</v>
      </c>
    </row>
    <row r="3743" spans="2:3" hidden="1" x14ac:dyDescent="0.2">
      <c r="B3743" t="s">
        <v>8221</v>
      </c>
      <c r="C3743">
        <v>0</v>
      </c>
    </row>
    <row r="3744" spans="2:3" hidden="1" x14ac:dyDescent="0.2">
      <c r="B3744" t="s">
        <v>8221</v>
      </c>
      <c r="C3744">
        <v>4</v>
      </c>
    </row>
    <row r="3745" spans="2:3" hidden="1" x14ac:dyDescent="0.2">
      <c r="B3745" t="s">
        <v>8221</v>
      </c>
      <c r="C3745">
        <v>0</v>
      </c>
    </row>
    <row r="3746" spans="2:3" hidden="1" x14ac:dyDescent="0.2">
      <c r="B3746" t="s">
        <v>8221</v>
      </c>
      <c r="C3746">
        <v>0</v>
      </c>
    </row>
    <row r="3747" spans="2:3" hidden="1" x14ac:dyDescent="0.2">
      <c r="B3747" t="s">
        <v>8221</v>
      </c>
      <c r="C3747">
        <v>1</v>
      </c>
    </row>
    <row r="3748" spans="2:3" hidden="1" x14ac:dyDescent="0.2">
      <c r="B3748" t="s">
        <v>8221</v>
      </c>
      <c r="C3748">
        <v>1</v>
      </c>
    </row>
    <row r="3749" spans="2:3" hidden="1" x14ac:dyDescent="0.2">
      <c r="B3749" t="s">
        <v>8221</v>
      </c>
      <c r="C3749">
        <v>1</v>
      </c>
    </row>
    <row r="3750" spans="2:3" x14ac:dyDescent="0.2">
      <c r="B3750" t="s">
        <v>8219</v>
      </c>
      <c r="C3750">
        <v>10</v>
      </c>
    </row>
    <row r="3751" spans="2:3" x14ac:dyDescent="0.2">
      <c r="B3751" t="s">
        <v>8219</v>
      </c>
      <c r="C3751">
        <v>10</v>
      </c>
    </row>
    <row r="3752" spans="2:3" x14ac:dyDescent="0.2">
      <c r="B3752" t="s">
        <v>8219</v>
      </c>
      <c r="C3752">
        <v>10</v>
      </c>
    </row>
    <row r="3753" spans="2:3" x14ac:dyDescent="0.2">
      <c r="B3753" t="s">
        <v>8219</v>
      </c>
      <c r="C3753">
        <v>10</v>
      </c>
    </row>
    <row r="3754" spans="2:3" x14ac:dyDescent="0.2">
      <c r="B3754" t="s">
        <v>8219</v>
      </c>
      <c r="C3754">
        <v>10</v>
      </c>
    </row>
    <row r="3755" spans="2:3" x14ac:dyDescent="0.2">
      <c r="B3755" t="s">
        <v>8219</v>
      </c>
      <c r="C3755">
        <v>9</v>
      </c>
    </row>
    <row r="3756" spans="2:3" x14ac:dyDescent="0.2">
      <c r="B3756" t="s">
        <v>8219</v>
      </c>
      <c r="C3756">
        <v>9</v>
      </c>
    </row>
    <row r="3757" spans="2:3" x14ac:dyDescent="0.2">
      <c r="B3757" t="s">
        <v>8219</v>
      </c>
      <c r="C3757">
        <v>9</v>
      </c>
    </row>
    <row r="3758" spans="2:3" x14ac:dyDescent="0.2">
      <c r="B3758" t="s">
        <v>8219</v>
      </c>
      <c r="C3758">
        <v>9</v>
      </c>
    </row>
    <row r="3759" spans="2:3" x14ac:dyDescent="0.2">
      <c r="B3759" t="s">
        <v>8219</v>
      </c>
      <c r="C3759">
        <v>9</v>
      </c>
    </row>
    <row r="3760" spans="2:3" x14ac:dyDescent="0.2">
      <c r="B3760" t="s">
        <v>8219</v>
      </c>
      <c r="C3760">
        <v>9</v>
      </c>
    </row>
    <row r="3761" spans="2:3" x14ac:dyDescent="0.2">
      <c r="B3761" t="s">
        <v>8219</v>
      </c>
      <c r="C3761">
        <v>9</v>
      </c>
    </row>
    <row r="3762" spans="2:3" x14ac:dyDescent="0.2">
      <c r="B3762" t="s">
        <v>8219</v>
      </c>
      <c r="C3762">
        <v>9</v>
      </c>
    </row>
    <row r="3763" spans="2:3" x14ac:dyDescent="0.2">
      <c r="B3763" t="s">
        <v>8219</v>
      </c>
      <c r="C3763">
        <v>9</v>
      </c>
    </row>
    <row r="3764" spans="2:3" x14ac:dyDescent="0.2">
      <c r="B3764" t="s">
        <v>8219</v>
      </c>
      <c r="C3764">
        <v>9</v>
      </c>
    </row>
    <row r="3765" spans="2:3" x14ac:dyDescent="0.2">
      <c r="B3765" t="s">
        <v>8219</v>
      </c>
      <c r="C3765">
        <v>9</v>
      </c>
    </row>
    <row r="3766" spans="2:3" x14ac:dyDescent="0.2">
      <c r="B3766" t="s">
        <v>8219</v>
      </c>
      <c r="C3766">
        <v>9</v>
      </c>
    </row>
    <row r="3767" spans="2:3" x14ac:dyDescent="0.2">
      <c r="B3767" t="s">
        <v>8219</v>
      </c>
      <c r="C3767">
        <v>9</v>
      </c>
    </row>
    <row r="3768" spans="2:3" x14ac:dyDescent="0.2">
      <c r="B3768" t="s">
        <v>8219</v>
      </c>
      <c r="C3768">
        <v>9</v>
      </c>
    </row>
    <row r="3769" spans="2:3" x14ac:dyDescent="0.2">
      <c r="B3769" t="s">
        <v>8219</v>
      </c>
      <c r="C3769">
        <v>9</v>
      </c>
    </row>
    <row r="3770" spans="2:3" x14ac:dyDescent="0.2">
      <c r="B3770" t="s">
        <v>8219</v>
      </c>
      <c r="C3770">
        <v>9</v>
      </c>
    </row>
    <row r="3771" spans="2:3" x14ac:dyDescent="0.2">
      <c r="B3771" t="s">
        <v>8219</v>
      </c>
      <c r="C3771">
        <v>8</v>
      </c>
    </row>
    <row r="3772" spans="2:3" x14ac:dyDescent="0.2">
      <c r="B3772" t="s">
        <v>8219</v>
      </c>
      <c r="C3772">
        <v>8</v>
      </c>
    </row>
    <row r="3773" spans="2:3" x14ac:dyDescent="0.2">
      <c r="B3773" t="s">
        <v>8219</v>
      </c>
      <c r="C3773">
        <v>8</v>
      </c>
    </row>
    <row r="3774" spans="2:3" x14ac:dyDescent="0.2">
      <c r="B3774" t="s">
        <v>8219</v>
      </c>
      <c r="C3774">
        <v>8</v>
      </c>
    </row>
    <row r="3775" spans="2:3" x14ac:dyDescent="0.2">
      <c r="B3775" t="s">
        <v>8219</v>
      </c>
      <c r="C3775">
        <v>8</v>
      </c>
    </row>
    <row r="3776" spans="2:3" x14ac:dyDescent="0.2">
      <c r="B3776" t="s">
        <v>8219</v>
      </c>
      <c r="C3776">
        <v>8</v>
      </c>
    </row>
    <row r="3777" spans="2:3" x14ac:dyDescent="0.2">
      <c r="B3777" t="s">
        <v>8219</v>
      </c>
      <c r="C3777">
        <v>8</v>
      </c>
    </row>
    <row r="3778" spans="2:3" x14ac:dyDescent="0.2">
      <c r="B3778" t="s">
        <v>8219</v>
      </c>
      <c r="C3778">
        <v>8</v>
      </c>
    </row>
    <row r="3779" spans="2:3" x14ac:dyDescent="0.2">
      <c r="B3779" t="s">
        <v>8219</v>
      </c>
      <c r="C3779">
        <v>8</v>
      </c>
    </row>
    <row r="3780" spans="2:3" x14ac:dyDescent="0.2">
      <c r="B3780" t="s">
        <v>8219</v>
      </c>
      <c r="C3780">
        <v>8</v>
      </c>
    </row>
    <row r="3781" spans="2:3" x14ac:dyDescent="0.2">
      <c r="B3781" t="s">
        <v>8219</v>
      </c>
      <c r="C3781">
        <v>8</v>
      </c>
    </row>
    <row r="3782" spans="2:3" x14ac:dyDescent="0.2">
      <c r="B3782" t="s">
        <v>8219</v>
      </c>
      <c r="C3782">
        <v>8</v>
      </c>
    </row>
    <row r="3783" spans="2:3" x14ac:dyDescent="0.2">
      <c r="B3783" t="s">
        <v>8219</v>
      </c>
      <c r="C3783">
        <v>8</v>
      </c>
    </row>
    <row r="3784" spans="2:3" x14ac:dyDescent="0.2">
      <c r="B3784" t="s">
        <v>8219</v>
      </c>
      <c r="C3784">
        <v>8</v>
      </c>
    </row>
    <row r="3785" spans="2:3" x14ac:dyDescent="0.2">
      <c r="B3785" t="s">
        <v>8219</v>
      </c>
      <c r="C3785">
        <v>8</v>
      </c>
    </row>
    <row r="3786" spans="2:3" x14ac:dyDescent="0.2">
      <c r="B3786" t="s">
        <v>8219</v>
      </c>
      <c r="C3786">
        <v>7</v>
      </c>
    </row>
    <row r="3787" spans="2:3" x14ac:dyDescent="0.2">
      <c r="B3787" t="s">
        <v>8219</v>
      </c>
      <c r="C3787">
        <v>7</v>
      </c>
    </row>
    <row r="3788" spans="2:3" x14ac:dyDescent="0.2">
      <c r="B3788" t="s">
        <v>8219</v>
      </c>
      <c r="C3788">
        <v>7</v>
      </c>
    </row>
    <row r="3789" spans="2:3" x14ac:dyDescent="0.2">
      <c r="B3789" t="s">
        <v>8219</v>
      </c>
      <c r="C3789">
        <v>7</v>
      </c>
    </row>
    <row r="3790" spans="2:3" hidden="1" x14ac:dyDescent="0.2">
      <c r="B3790" t="s">
        <v>8221</v>
      </c>
      <c r="C3790">
        <v>1</v>
      </c>
    </row>
    <row r="3791" spans="2:3" hidden="1" x14ac:dyDescent="0.2">
      <c r="B3791" t="s">
        <v>8221</v>
      </c>
      <c r="C3791">
        <v>4</v>
      </c>
    </row>
    <row r="3792" spans="2:3" hidden="1" x14ac:dyDescent="0.2">
      <c r="B3792" t="s">
        <v>8221</v>
      </c>
      <c r="C3792">
        <v>0</v>
      </c>
    </row>
    <row r="3793" spans="2:3" hidden="1" x14ac:dyDescent="0.2">
      <c r="B3793" t="s">
        <v>8221</v>
      </c>
      <c r="C3793">
        <v>0</v>
      </c>
    </row>
    <row r="3794" spans="2:3" hidden="1" x14ac:dyDescent="0.2">
      <c r="B3794" t="s">
        <v>8221</v>
      </c>
      <c r="C3794">
        <v>2</v>
      </c>
    </row>
    <row r="3795" spans="2:3" hidden="1" x14ac:dyDescent="0.2">
      <c r="B3795" t="s">
        <v>8221</v>
      </c>
      <c r="C3795">
        <v>24</v>
      </c>
    </row>
    <row r="3796" spans="2:3" hidden="1" x14ac:dyDescent="0.2">
      <c r="B3796" t="s">
        <v>8221</v>
      </c>
      <c r="C3796">
        <v>1</v>
      </c>
    </row>
    <row r="3797" spans="2:3" hidden="1" x14ac:dyDescent="0.2">
      <c r="B3797" t="s">
        <v>8221</v>
      </c>
      <c r="C3797">
        <v>2</v>
      </c>
    </row>
    <row r="3798" spans="2:3" hidden="1" x14ac:dyDescent="0.2">
      <c r="B3798" t="s">
        <v>8221</v>
      </c>
      <c r="C3798">
        <v>1</v>
      </c>
    </row>
    <row r="3799" spans="2:3" hidden="1" x14ac:dyDescent="0.2">
      <c r="B3799" t="s">
        <v>8221</v>
      </c>
      <c r="C3799">
        <v>37</v>
      </c>
    </row>
    <row r="3800" spans="2:3" hidden="1" x14ac:dyDescent="0.2">
      <c r="B3800" t="s">
        <v>8221</v>
      </c>
      <c r="C3800">
        <v>5</v>
      </c>
    </row>
    <row r="3801" spans="2:3" hidden="1" x14ac:dyDescent="0.2">
      <c r="B3801" t="s">
        <v>8221</v>
      </c>
      <c r="C3801">
        <v>4</v>
      </c>
    </row>
    <row r="3802" spans="2:3" hidden="1" x14ac:dyDescent="0.2">
      <c r="B3802" t="s">
        <v>8221</v>
      </c>
      <c r="C3802">
        <v>16</v>
      </c>
    </row>
    <row r="3803" spans="2:3" hidden="1" x14ac:dyDescent="0.2">
      <c r="B3803" t="s">
        <v>8221</v>
      </c>
      <c r="C3803">
        <v>9</v>
      </c>
    </row>
    <row r="3804" spans="2:3" hidden="1" x14ac:dyDescent="0.2">
      <c r="B3804" t="s">
        <v>8221</v>
      </c>
      <c r="C3804">
        <v>0</v>
      </c>
    </row>
    <row r="3805" spans="2:3" hidden="1" x14ac:dyDescent="0.2">
      <c r="B3805" t="s">
        <v>8221</v>
      </c>
      <c r="C3805">
        <v>40</v>
      </c>
    </row>
    <row r="3806" spans="2:3" hidden="1" x14ac:dyDescent="0.2">
      <c r="B3806" t="s">
        <v>8221</v>
      </c>
      <c r="C3806">
        <v>0</v>
      </c>
    </row>
    <row r="3807" spans="2:3" hidden="1" x14ac:dyDescent="0.2">
      <c r="B3807" t="s">
        <v>8221</v>
      </c>
      <c r="C3807">
        <v>2</v>
      </c>
    </row>
    <row r="3808" spans="2:3" hidden="1" x14ac:dyDescent="0.2">
      <c r="B3808" t="s">
        <v>8221</v>
      </c>
      <c r="C3808">
        <v>1</v>
      </c>
    </row>
    <row r="3809" spans="2:3" hidden="1" x14ac:dyDescent="0.2">
      <c r="B3809" t="s">
        <v>8221</v>
      </c>
      <c r="C3809">
        <v>9</v>
      </c>
    </row>
    <row r="3810" spans="2:3" x14ac:dyDescent="0.2">
      <c r="B3810" t="s">
        <v>8219</v>
      </c>
      <c r="C3810">
        <v>7</v>
      </c>
    </row>
    <row r="3811" spans="2:3" x14ac:dyDescent="0.2">
      <c r="B3811" t="s">
        <v>8219</v>
      </c>
      <c r="C3811">
        <v>7</v>
      </c>
    </row>
    <row r="3812" spans="2:3" x14ac:dyDescent="0.2">
      <c r="B3812" t="s">
        <v>8219</v>
      </c>
      <c r="C3812">
        <v>7</v>
      </c>
    </row>
    <row r="3813" spans="2:3" x14ac:dyDescent="0.2">
      <c r="B3813" t="s">
        <v>8219</v>
      </c>
      <c r="C3813">
        <v>7</v>
      </c>
    </row>
    <row r="3814" spans="2:3" x14ac:dyDescent="0.2">
      <c r="B3814" t="s">
        <v>8219</v>
      </c>
      <c r="C3814">
        <v>7</v>
      </c>
    </row>
    <row r="3815" spans="2:3" x14ac:dyDescent="0.2">
      <c r="B3815" t="s">
        <v>8219</v>
      </c>
      <c r="C3815">
        <v>7</v>
      </c>
    </row>
    <row r="3816" spans="2:3" x14ac:dyDescent="0.2">
      <c r="B3816" t="s">
        <v>8219</v>
      </c>
      <c r="C3816">
        <v>6</v>
      </c>
    </row>
    <row r="3817" spans="2:3" x14ac:dyDescent="0.2">
      <c r="B3817" t="s">
        <v>8219</v>
      </c>
      <c r="C3817">
        <v>6</v>
      </c>
    </row>
    <row r="3818" spans="2:3" x14ac:dyDescent="0.2">
      <c r="B3818" t="s">
        <v>8219</v>
      </c>
      <c r="C3818">
        <v>6</v>
      </c>
    </row>
    <row r="3819" spans="2:3" x14ac:dyDescent="0.2">
      <c r="B3819" t="s">
        <v>8219</v>
      </c>
      <c r="C3819">
        <v>6</v>
      </c>
    </row>
    <row r="3820" spans="2:3" x14ac:dyDescent="0.2">
      <c r="B3820" t="s">
        <v>8219</v>
      </c>
      <c r="C3820">
        <v>6</v>
      </c>
    </row>
    <row r="3821" spans="2:3" x14ac:dyDescent="0.2">
      <c r="B3821" t="s">
        <v>8219</v>
      </c>
      <c r="C3821">
        <v>5</v>
      </c>
    </row>
    <row r="3822" spans="2:3" x14ac:dyDescent="0.2">
      <c r="B3822" t="s">
        <v>8219</v>
      </c>
      <c r="C3822">
        <v>5</v>
      </c>
    </row>
    <row r="3823" spans="2:3" x14ac:dyDescent="0.2">
      <c r="B3823" t="s">
        <v>8219</v>
      </c>
      <c r="C3823">
        <v>5</v>
      </c>
    </row>
    <row r="3824" spans="2:3" x14ac:dyDescent="0.2">
      <c r="B3824" t="s">
        <v>8219</v>
      </c>
      <c r="C3824">
        <v>4</v>
      </c>
    </row>
    <row r="3825" spans="2:3" x14ac:dyDescent="0.2">
      <c r="B3825" t="s">
        <v>8219</v>
      </c>
      <c r="C3825">
        <v>4</v>
      </c>
    </row>
    <row r="3826" spans="2:3" x14ac:dyDescent="0.2">
      <c r="B3826" t="s">
        <v>8219</v>
      </c>
      <c r="C3826">
        <v>4</v>
      </c>
    </row>
    <row r="3827" spans="2:3" x14ac:dyDescent="0.2">
      <c r="B3827" t="s">
        <v>8219</v>
      </c>
      <c r="C3827">
        <v>4</v>
      </c>
    </row>
    <row r="3828" spans="2:3" x14ac:dyDescent="0.2">
      <c r="B3828" t="s">
        <v>8219</v>
      </c>
      <c r="C3828">
        <v>4</v>
      </c>
    </row>
    <row r="3829" spans="2:3" x14ac:dyDescent="0.2">
      <c r="B3829" t="s">
        <v>8219</v>
      </c>
      <c r="C3829">
        <v>3</v>
      </c>
    </row>
    <row r="3830" spans="2:3" x14ac:dyDescent="0.2">
      <c r="B3830" t="s">
        <v>8219</v>
      </c>
      <c r="C3830">
        <v>3</v>
      </c>
    </row>
    <row r="3831" spans="2:3" x14ac:dyDescent="0.2">
      <c r="B3831" t="s">
        <v>8219</v>
      </c>
      <c r="C3831">
        <v>3</v>
      </c>
    </row>
    <row r="3832" spans="2:3" x14ac:dyDescent="0.2">
      <c r="B3832" t="s">
        <v>8219</v>
      </c>
      <c r="C3832">
        <v>3</v>
      </c>
    </row>
    <row r="3833" spans="2:3" x14ac:dyDescent="0.2">
      <c r="B3833" t="s">
        <v>8219</v>
      </c>
      <c r="C3833">
        <v>3</v>
      </c>
    </row>
    <row r="3834" spans="2:3" x14ac:dyDescent="0.2">
      <c r="B3834" t="s">
        <v>8219</v>
      </c>
      <c r="C3834">
        <v>3</v>
      </c>
    </row>
    <row r="3835" spans="2:3" x14ac:dyDescent="0.2">
      <c r="B3835" t="s">
        <v>8219</v>
      </c>
      <c r="C3835">
        <v>3</v>
      </c>
    </row>
    <row r="3836" spans="2:3" x14ac:dyDescent="0.2">
      <c r="B3836" t="s">
        <v>8219</v>
      </c>
      <c r="C3836">
        <v>3</v>
      </c>
    </row>
    <row r="3837" spans="2:3" x14ac:dyDescent="0.2">
      <c r="B3837" t="s">
        <v>8219</v>
      </c>
      <c r="C3837">
        <v>3</v>
      </c>
    </row>
    <row r="3838" spans="2:3" x14ac:dyDescent="0.2">
      <c r="B3838" t="s">
        <v>8219</v>
      </c>
      <c r="C3838">
        <v>3</v>
      </c>
    </row>
    <row r="3839" spans="2:3" x14ac:dyDescent="0.2">
      <c r="B3839" t="s">
        <v>8219</v>
      </c>
      <c r="C3839">
        <v>2</v>
      </c>
    </row>
    <row r="3840" spans="2:3" x14ac:dyDescent="0.2">
      <c r="B3840" t="s">
        <v>8219</v>
      </c>
      <c r="C3840">
        <v>1</v>
      </c>
    </row>
    <row r="3841" spans="2:3" x14ac:dyDescent="0.2">
      <c r="B3841" t="s">
        <v>8219</v>
      </c>
      <c r="C3841">
        <v>1</v>
      </c>
    </row>
    <row r="3842" spans="2:3" x14ac:dyDescent="0.2">
      <c r="B3842" t="s">
        <v>8219</v>
      </c>
      <c r="C3842">
        <v>1</v>
      </c>
    </row>
    <row r="3843" spans="2:3" hidden="1" x14ac:dyDescent="0.2">
      <c r="B3843" t="s">
        <v>8221</v>
      </c>
      <c r="C3843">
        <v>34</v>
      </c>
    </row>
    <row r="3844" spans="2:3" hidden="1" x14ac:dyDescent="0.2">
      <c r="B3844" t="s">
        <v>8221</v>
      </c>
      <c r="C3844">
        <v>23</v>
      </c>
    </row>
    <row r="3845" spans="2:3" hidden="1" x14ac:dyDescent="0.2">
      <c r="B3845" t="s">
        <v>8221</v>
      </c>
      <c r="C3845">
        <v>19</v>
      </c>
    </row>
    <row r="3846" spans="2:3" hidden="1" x14ac:dyDescent="0.2">
      <c r="B3846" t="s">
        <v>8221</v>
      </c>
      <c r="C3846">
        <v>50</v>
      </c>
    </row>
    <row r="3847" spans="2:3" hidden="1" x14ac:dyDescent="0.2">
      <c r="B3847" t="s">
        <v>8221</v>
      </c>
      <c r="C3847">
        <v>12</v>
      </c>
    </row>
    <row r="3848" spans="2:3" hidden="1" x14ac:dyDescent="0.2">
      <c r="B3848" t="s">
        <v>8221</v>
      </c>
      <c r="C3848">
        <v>8</v>
      </c>
    </row>
    <row r="3849" spans="2:3" hidden="1" x14ac:dyDescent="0.2">
      <c r="B3849" t="s">
        <v>8221</v>
      </c>
      <c r="C3849">
        <v>9</v>
      </c>
    </row>
    <row r="3850" spans="2:3" hidden="1" x14ac:dyDescent="0.2">
      <c r="B3850" t="s">
        <v>8221</v>
      </c>
      <c r="C3850">
        <v>43</v>
      </c>
    </row>
    <row r="3851" spans="2:3" hidden="1" x14ac:dyDescent="0.2">
      <c r="B3851" t="s">
        <v>8221</v>
      </c>
      <c r="C3851">
        <v>28</v>
      </c>
    </row>
    <row r="3852" spans="2:3" hidden="1" x14ac:dyDescent="0.2">
      <c r="B3852" t="s">
        <v>8221</v>
      </c>
      <c r="C3852">
        <v>4</v>
      </c>
    </row>
    <row r="3853" spans="2:3" hidden="1" x14ac:dyDescent="0.2">
      <c r="B3853" t="s">
        <v>8221</v>
      </c>
      <c r="C3853">
        <v>24</v>
      </c>
    </row>
    <row r="3854" spans="2:3" hidden="1" x14ac:dyDescent="0.2">
      <c r="B3854" t="s">
        <v>8221</v>
      </c>
      <c r="C3854">
        <v>2</v>
      </c>
    </row>
    <row r="3855" spans="2:3" hidden="1" x14ac:dyDescent="0.2">
      <c r="B3855" t="s">
        <v>8221</v>
      </c>
      <c r="C3855">
        <v>2</v>
      </c>
    </row>
    <row r="3856" spans="2:3" hidden="1" x14ac:dyDescent="0.2">
      <c r="B3856" t="s">
        <v>8221</v>
      </c>
      <c r="C3856">
        <v>20</v>
      </c>
    </row>
    <row r="3857" spans="2:3" hidden="1" x14ac:dyDescent="0.2">
      <c r="B3857" t="s">
        <v>8221</v>
      </c>
      <c r="C3857">
        <v>1</v>
      </c>
    </row>
    <row r="3858" spans="2:3" hidden="1" x14ac:dyDescent="0.2">
      <c r="B3858" t="s">
        <v>8221</v>
      </c>
      <c r="C3858">
        <v>1</v>
      </c>
    </row>
    <row r="3859" spans="2:3" hidden="1" x14ac:dyDescent="0.2">
      <c r="B3859" t="s">
        <v>8221</v>
      </c>
      <c r="C3859">
        <v>4</v>
      </c>
    </row>
    <row r="3860" spans="2:3" hidden="1" x14ac:dyDescent="0.2">
      <c r="B3860" t="s">
        <v>8221</v>
      </c>
      <c r="C3860">
        <v>1</v>
      </c>
    </row>
    <row r="3861" spans="2:3" hidden="1" x14ac:dyDescent="0.2">
      <c r="B3861" t="s">
        <v>8221</v>
      </c>
      <c r="C3861">
        <v>1</v>
      </c>
    </row>
    <row r="3862" spans="2:3" hidden="1" x14ac:dyDescent="0.2">
      <c r="B3862" t="s">
        <v>8221</v>
      </c>
      <c r="C3862">
        <v>13</v>
      </c>
    </row>
    <row r="3863" spans="2:3" hidden="1" x14ac:dyDescent="0.2">
      <c r="B3863" t="s">
        <v>8221</v>
      </c>
      <c r="C3863">
        <v>1</v>
      </c>
    </row>
    <row r="3864" spans="2:3" hidden="1" x14ac:dyDescent="0.2">
      <c r="B3864" t="s">
        <v>8221</v>
      </c>
      <c r="C3864">
        <v>1</v>
      </c>
    </row>
    <row r="3865" spans="2:3" hidden="1" x14ac:dyDescent="0.2">
      <c r="B3865" t="s">
        <v>8221</v>
      </c>
      <c r="C3865">
        <v>0</v>
      </c>
    </row>
    <row r="3866" spans="2:3" hidden="1" x14ac:dyDescent="0.2">
      <c r="B3866" t="s">
        <v>8221</v>
      </c>
      <c r="C3866">
        <v>3</v>
      </c>
    </row>
    <row r="3867" spans="2:3" hidden="1" x14ac:dyDescent="0.2">
      <c r="B3867" t="s">
        <v>8221</v>
      </c>
      <c r="C3867">
        <v>14</v>
      </c>
    </row>
    <row r="3868" spans="2:3" hidden="1" x14ac:dyDescent="0.2">
      <c r="B3868" t="s">
        <v>8221</v>
      </c>
      <c r="C3868">
        <v>2</v>
      </c>
    </row>
    <row r="3869" spans="2:3" hidden="1" x14ac:dyDescent="0.2">
      <c r="B3869" t="s">
        <v>8221</v>
      </c>
      <c r="C3869">
        <v>5</v>
      </c>
    </row>
    <row r="3870" spans="2:3" hidden="1" x14ac:dyDescent="0.2">
      <c r="B3870" t="s">
        <v>8220</v>
      </c>
      <c r="C3870">
        <v>1</v>
      </c>
    </row>
    <row r="3871" spans="2:3" hidden="1" x14ac:dyDescent="0.2">
      <c r="B3871" t="s">
        <v>8220</v>
      </c>
      <c r="C3871">
        <v>15</v>
      </c>
    </row>
    <row r="3872" spans="2:3" hidden="1" x14ac:dyDescent="0.2">
      <c r="B3872" t="s">
        <v>8220</v>
      </c>
      <c r="C3872">
        <v>10</v>
      </c>
    </row>
    <row r="3873" spans="2:3" hidden="1" x14ac:dyDescent="0.2">
      <c r="B3873" t="s">
        <v>8220</v>
      </c>
      <c r="C3873">
        <v>3</v>
      </c>
    </row>
    <row r="3874" spans="2:3" hidden="1" x14ac:dyDescent="0.2">
      <c r="B3874" t="s">
        <v>8220</v>
      </c>
      <c r="C3874">
        <v>0</v>
      </c>
    </row>
    <row r="3875" spans="2:3" hidden="1" x14ac:dyDescent="0.2">
      <c r="B3875" t="s">
        <v>8220</v>
      </c>
      <c r="C3875">
        <v>0</v>
      </c>
    </row>
    <row r="3876" spans="2:3" hidden="1" x14ac:dyDescent="0.2">
      <c r="B3876" t="s">
        <v>8220</v>
      </c>
      <c r="C3876">
        <v>0</v>
      </c>
    </row>
    <row r="3877" spans="2:3" hidden="1" x14ac:dyDescent="0.2">
      <c r="B3877" t="s">
        <v>8220</v>
      </c>
      <c r="C3877">
        <v>0</v>
      </c>
    </row>
    <row r="3878" spans="2:3" hidden="1" x14ac:dyDescent="0.2">
      <c r="B3878" t="s">
        <v>8220</v>
      </c>
      <c r="C3878">
        <v>46</v>
      </c>
    </row>
    <row r="3879" spans="2:3" hidden="1" x14ac:dyDescent="0.2">
      <c r="B3879" t="s">
        <v>8220</v>
      </c>
      <c r="C3879">
        <v>14</v>
      </c>
    </row>
    <row r="3880" spans="2:3" hidden="1" x14ac:dyDescent="0.2">
      <c r="B3880" t="s">
        <v>8220</v>
      </c>
      <c r="C3880">
        <v>1</v>
      </c>
    </row>
    <row r="3881" spans="2:3" hidden="1" x14ac:dyDescent="0.2">
      <c r="B3881" t="s">
        <v>8220</v>
      </c>
      <c r="C3881">
        <v>0</v>
      </c>
    </row>
    <row r="3882" spans="2:3" hidden="1" x14ac:dyDescent="0.2">
      <c r="B3882" t="s">
        <v>8220</v>
      </c>
      <c r="C3882">
        <v>17</v>
      </c>
    </row>
    <row r="3883" spans="2:3" hidden="1" x14ac:dyDescent="0.2">
      <c r="B3883" t="s">
        <v>8220</v>
      </c>
      <c r="C3883">
        <v>1</v>
      </c>
    </row>
    <row r="3884" spans="2:3" hidden="1" x14ac:dyDescent="0.2">
      <c r="B3884" t="s">
        <v>8220</v>
      </c>
      <c r="C3884">
        <v>0</v>
      </c>
    </row>
    <row r="3885" spans="2:3" hidden="1" x14ac:dyDescent="0.2">
      <c r="B3885" t="s">
        <v>8220</v>
      </c>
      <c r="C3885">
        <v>0</v>
      </c>
    </row>
    <row r="3886" spans="2:3" hidden="1" x14ac:dyDescent="0.2">
      <c r="B3886" t="s">
        <v>8220</v>
      </c>
      <c r="C3886">
        <v>0</v>
      </c>
    </row>
    <row r="3887" spans="2:3" hidden="1" x14ac:dyDescent="0.2">
      <c r="B3887" t="s">
        <v>8220</v>
      </c>
      <c r="C3887">
        <v>0</v>
      </c>
    </row>
    <row r="3888" spans="2:3" hidden="1" x14ac:dyDescent="0.2">
      <c r="B3888" t="s">
        <v>8220</v>
      </c>
      <c r="C3888">
        <v>0</v>
      </c>
    </row>
    <row r="3889" spans="2:3" hidden="1" x14ac:dyDescent="0.2">
      <c r="B3889" t="s">
        <v>8220</v>
      </c>
      <c r="C3889">
        <v>2</v>
      </c>
    </row>
    <row r="3890" spans="2:3" hidden="1" x14ac:dyDescent="0.2">
      <c r="B3890" t="s">
        <v>8221</v>
      </c>
      <c r="C3890">
        <v>14</v>
      </c>
    </row>
    <row r="3891" spans="2:3" hidden="1" x14ac:dyDescent="0.2">
      <c r="B3891" t="s">
        <v>8221</v>
      </c>
      <c r="C3891">
        <v>9</v>
      </c>
    </row>
    <row r="3892" spans="2:3" hidden="1" x14ac:dyDescent="0.2">
      <c r="B3892" t="s">
        <v>8221</v>
      </c>
      <c r="C3892">
        <v>8</v>
      </c>
    </row>
    <row r="3893" spans="2:3" hidden="1" x14ac:dyDescent="0.2">
      <c r="B3893" t="s">
        <v>8221</v>
      </c>
      <c r="C3893">
        <v>7</v>
      </c>
    </row>
    <row r="3894" spans="2:3" hidden="1" x14ac:dyDescent="0.2">
      <c r="B3894" t="s">
        <v>8221</v>
      </c>
      <c r="C3894">
        <v>0</v>
      </c>
    </row>
    <row r="3895" spans="2:3" hidden="1" x14ac:dyDescent="0.2">
      <c r="B3895" t="s">
        <v>8221</v>
      </c>
      <c r="C3895">
        <v>84</v>
      </c>
    </row>
    <row r="3896" spans="2:3" hidden="1" x14ac:dyDescent="0.2">
      <c r="B3896" t="s">
        <v>8221</v>
      </c>
      <c r="C3896">
        <v>11</v>
      </c>
    </row>
    <row r="3897" spans="2:3" hidden="1" x14ac:dyDescent="0.2">
      <c r="B3897" t="s">
        <v>8221</v>
      </c>
      <c r="C3897">
        <v>1</v>
      </c>
    </row>
    <row r="3898" spans="2:3" hidden="1" x14ac:dyDescent="0.2">
      <c r="B3898" t="s">
        <v>8221</v>
      </c>
      <c r="C3898">
        <v>4</v>
      </c>
    </row>
    <row r="3899" spans="2:3" hidden="1" x14ac:dyDescent="0.2">
      <c r="B3899" t="s">
        <v>8221</v>
      </c>
      <c r="C3899">
        <v>10</v>
      </c>
    </row>
    <row r="3900" spans="2:3" hidden="1" x14ac:dyDescent="0.2">
      <c r="B3900" t="s">
        <v>8221</v>
      </c>
      <c r="C3900">
        <v>16</v>
      </c>
    </row>
    <row r="3901" spans="2:3" hidden="1" x14ac:dyDescent="0.2">
      <c r="B3901" t="s">
        <v>8221</v>
      </c>
      <c r="C3901">
        <v>2</v>
      </c>
    </row>
    <row r="3902" spans="2:3" hidden="1" x14ac:dyDescent="0.2">
      <c r="B3902" t="s">
        <v>8221</v>
      </c>
      <c r="C3902">
        <v>5</v>
      </c>
    </row>
    <row r="3903" spans="2:3" hidden="1" x14ac:dyDescent="0.2">
      <c r="B3903" t="s">
        <v>8221</v>
      </c>
      <c r="C3903">
        <v>1</v>
      </c>
    </row>
    <row r="3904" spans="2:3" hidden="1" x14ac:dyDescent="0.2">
      <c r="B3904" t="s">
        <v>8221</v>
      </c>
      <c r="C3904">
        <v>31</v>
      </c>
    </row>
    <row r="3905" spans="2:3" hidden="1" x14ac:dyDescent="0.2">
      <c r="B3905" t="s">
        <v>8221</v>
      </c>
      <c r="C3905">
        <v>0</v>
      </c>
    </row>
    <row r="3906" spans="2:3" hidden="1" x14ac:dyDescent="0.2">
      <c r="B3906" t="s">
        <v>8221</v>
      </c>
      <c r="C3906">
        <v>2</v>
      </c>
    </row>
    <row r="3907" spans="2:3" hidden="1" x14ac:dyDescent="0.2">
      <c r="B3907" t="s">
        <v>8221</v>
      </c>
      <c r="C3907">
        <v>7</v>
      </c>
    </row>
    <row r="3908" spans="2:3" hidden="1" x14ac:dyDescent="0.2">
      <c r="B3908" t="s">
        <v>8221</v>
      </c>
      <c r="C3908">
        <v>16</v>
      </c>
    </row>
    <row r="3909" spans="2:3" hidden="1" x14ac:dyDescent="0.2">
      <c r="B3909" t="s">
        <v>8221</v>
      </c>
      <c r="C3909">
        <v>4</v>
      </c>
    </row>
    <row r="3910" spans="2:3" hidden="1" x14ac:dyDescent="0.2">
      <c r="B3910" t="s">
        <v>8221</v>
      </c>
      <c r="C3910">
        <v>4</v>
      </c>
    </row>
    <row r="3911" spans="2:3" hidden="1" x14ac:dyDescent="0.2">
      <c r="B3911" t="s">
        <v>8221</v>
      </c>
      <c r="C3911">
        <v>4</v>
      </c>
    </row>
    <row r="3912" spans="2:3" hidden="1" x14ac:dyDescent="0.2">
      <c r="B3912" t="s">
        <v>8221</v>
      </c>
      <c r="C3912">
        <v>3</v>
      </c>
    </row>
    <row r="3913" spans="2:3" hidden="1" x14ac:dyDescent="0.2">
      <c r="B3913" t="s">
        <v>8221</v>
      </c>
      <c r="C3913">
        <v>36</v>
      </c>
    </row>
    <row r="3914" spans="2:3" hidden="1" x14ac:dyDescent="0.2">
      <c r="B3914" t="s">
        <v>8221</v>
      </c>
      <c r="C3914">
        <v>1</v>
      </c>
    </row>
    <row r="3915" spans="2:3" hidden="1" x14ac:dyDescent="0.2">
      <c r="B3915" t="s">
        <v>8221</v>
      </c>
      <c r="C3915">
        <v>7</v>
      </c>
    </row>
    <row r="3916" spans="2:3" hidden="1" x14ac:dyDescent="0.2">
      <c r="B3916" t="s">
        <v>8221</v>
      </c>
      <c r="C3916">
        <v>27</v>
      </c>
    </row>
    <row r="3917" spans="2:3" hidden="1" x14ac:dyDescent="0.2">
      <c r="B3917" t="s">
        <v>8221</v>
      </c>
      <c r="C3917">
        <v>1</v>
      </c>
    </row>
    <row r="3918" spans="2:3" hidden="1" x14ac:dyDescent="0.2">
      <c r="B3918" t="s">
        <v>8221</v>
      </c>
      <c r="C3918">
        <v>0</v>
      </c>
    </row>
    <row r="3919" spans="2:3" hidden="1" x14ac:dyDescent="0.2">
      <c r="B3919" t="s">
        <v>8221</v>
      </c>
      <c r="C3919">
        <v>1</v>
      </c>
    </row>
    <row r="3920" spans="2:3" hidden="1" x14ac:dyDescent="0.2">
      <c r="B3920" t="s">
        <v>8221</v>
      </c>
      <c r="C3920">
        <v>3</v>
      </c>
    </row>
    <row r="3921" spans="2:3" hidden="1" x14ac:dyDescent="0.2">
      <c r="B3921" t="s">
        <v>8221</v>
      </c>
      <c r="C3921">
        <v>3</v>
      </c>
    </row>
    <row r="3922" spans="2:3" hidden="1" x14ac:dyDescent="0.2">
      <c r="B3922" t="s">
        <v>8221</v>
      </c>
      <c r="C3922">
        <v>3</v>
      </c>
    </row>
    <row r="3923" spans="2:3" hidden="1" x14ac:dyDescent="0.2">
      <c r="B3923" t="s">
        <v>8221</v>
      </c>
      <c r="C3923">
        <v>0</v>
      </c>
    </row>
    <row r="3924" spans="2:3" hidden="1" x14ac:dyDescent="0.2">
      <c r="B3924" t="s">
        <v>8221</v>
      </c>
      <c r="C3924">
        <v>6</v>
      </c>
    </row>
    <row r="3925" spans="2:3" hidden="1" x14ac:dyDescent="0.2">
      <c r="B3925" t="s">
        <v>8221</v>
      </c>
      <c r="C3925">
        <v>17</v>
      </c>
    </row>
    <row r="3926" spans="2:3" hidden="1" x14ac:dyDescent="0.2">
      <c r="B3926" t="s">
        <v>8221</v>
      </c>
      <c r="C3926">
        <v>40</v>
      </c>
    </row>
    <row r="3927" spans="2:3" hidden="1" x14ac:dyDescent="0.2">
      <c r="B3927" t="s">
        <v>8221</v>
      </c>
      <c r="C3927">
        <v>3</v>
      </c>
    </row>
    <row r="3928" spans="2:3" hidden="1" x14ac:dyDescent="0.2">
      <c r="B3928" t="s">
        <v>8221</v>
      </c>
      <c r="C3928">
        <v>1</v>
      </c>
    </row>
    <row r="3929" spans="2:3" hidden="1" x14ac:dyDescent="0.2">
      <c r="B3929" t="s">
        <v>8221</v>
      </c>
      <c r="C3929">
        <v>2</v>
      </c>
    </row>
    <row r="3930" spans="2:3" hidden="1" x14ac:dyDescent="0.2">
      <c r="B3930" t="s">
        <v>8221</v>
      </c>
      <c r="C3930">
        <v>7</v>
      </c>
    </row>
    <row r="3931" spans="2:3" hidden="1" x14ac:dyDescent="0.2">
      <c r="B3931" t="s">
        <v>8221</v>
      </c>
      <c r="C3931">
        <v>14</v>
      </c>
    </row>
    <row r="3932" spans="2:3" hidden="1" x14ac:dyDescent="0.2">
      <c r="B3932" t="s">
        <v>8221</v>
      </c>
      <c r="C3932">
        <v>0</v>
      </c>
    </row>
    <row r="3933" spans="2:3" hidden="1" x14ac:dyDescent="0.2">
      <c r="B3933" t="s">
        <v>8221</v>
      </c>
      <c r="C3933">
        <v>0</v>
      </c>
    </row>
    <row r="3934" spans="2:3" hidden="1" x14ac:dyDescent="0.2">
      <c r="B3934" t="s">
        <v>8221</v>
      </c>
      <c r="C3934">
        <v>1</v>
      </c>
    </row>
    <row r="3935" spans="2:3" hidden="1" x14ac:dyDescent="0.2">
      <c r="B3935" t="s">
        <v>8221</v>
      </c>
      <c r="C3935">
        <v>12</v>
      </c>
    </row>
    <row r="3936" spans="2:3" hidden="1" x14ac:dyDescent="0.2">
      <c r="B3936" t="s">
        <v>8221</v>
      </c>
      <c r="C3936">
        <v>12</v>
      </c>
    </row>
    <row r="3937" spans="2:3" hidden="1" x14ac:dyDescent="0.2">
      <c r="B3937" t="s">
        <v>8221</v>
      </c>
      <c r="C3937">
        <v>23</v>
      </c>
    </row>
    <row r="3938" spans="2:3" hidden="1" x14ac:dyDescent="0.2">
      <c r="B3938" t="s">
        <v>8221</v>
      </c>
      <c r="C3938">
        <v>0</v>
      </c>
    </row>
    <row r="3939" spans="2:3" hidden="1" x14ac:dyDescent="0.2">
      <c r="B3939" t="s">
        <v>8221</v>
      </c>
      <c r="C3939">
        <v>10</v>
      </c>
    </row>
    <row r="3940" spans="2:3" hidden="1" x14ac:dyDescent="0.2">
      <c r="B3940" t="s">
        <v>8221</v>
      </c>
      <c r="C3940">
        <v>5</v>
      </c>
    </row>
    <row r="3941" spans="2:3" hidden="1" x14ac:dyDescent="0.2">
      <c r="B3941" t="s">
        <v>8221</v>
      </c>
      <c r="C3941">
        <v>1</v>
      </c>
    </row>
    <row r="3942" spans="2:3" hidden="1" x14ac:dyDescent="0.2">
      <c r="B3942" t="s">
        <v>8221</v>
      </c>
      <c r="C3942">
        <v>2</v>
      </c>
    </row>
    <row r="3943" spans="2:3" hidden="1" x14ac:dyDescent="0.2">
      <c r="B3943" t="s">
        <v>8221</v>
      </c>
      <c r="C3943">
        <v>2</v>
      </c>
    </row>
    <row r="3944" spans="2:3" hidden="1" x14ac:dyDescent="0.2">
      <c r="B3944" t="s">
        <v>8221</v>
      </c>
      <c r="C3944">
        <v>0</v>
      </c>
    </row>
    <row r="3945" spans="2:3" hidden="1" x14ac:dyDescent="0.2">
      <c r="B3945" t="s">
        <v>8221</v>
      </c>
      <c r="C3945">
        <v>13</v>
      </c>
    </row>
    <row r="3946" spans="2:3" hidden="1" x14ac:dyDescent="0.2">
      <c r="B3946" t="s">
        <v>8221</v>
      </c>
      <c r="C3946">
        <v>0</v>
      </c>
    </row>
    <row r="3947" spans="2:3" hidden="1" x14ac:dyDescent="0.2">
      <c r="B3947" t="s">
        <v>8221</v>
      </c>
      <c r="C3947">
        <v>1</v>
      </c>
    </row>
    <row r="3948" spans="2:3" hidden="1" x14ac:dyDescent="0.2">
      <c r="B3948" t="s">
        <v>8221</v>
      </c>
      <c r="C3948">
        <v>5</v>
      </c>
    </row>
    <row r="3949" spans="2:3" hidden="1" x14ac:dyDescent="0.2">
      <c r="B3949" t="s">
        <v>8221</v>
      </c>
      <c r="C3949">
        <v>2</v>
      </c>
    </row>
    <row r="3950" spans="2:3" hidden="1" x14ac:dyDescent="0.2">
      <c r="B3950" t="s">
        <v>8221</v>
      </c>
      <c r="C3950">
        <v>0</v>
      </c>
    </row>
    <row r="3951" spans="2:3" hidden="1" x14ac:dyDescent="0.2">
      <c r="B3951" t="s">
        <v>8221</v>
      </c>
      <c r="C3951">
        <v>32</v>
      </c>
    </row>
    <row r="3952" spans="2:3" hidden="1" x14ac:dyDescent="0.2">
      <c r="B3952" t="s">
        <v>8221</v>
      </c>
      <c r="C3952">
        <v>1</v>
      </c>
    </row>
    <row r="3953" spans="2:3" hidden="1" x14ac:dyDescent="0.2">
      <c r="B3953" t="s">
        <v>8221</v>
      </c>
      <c r="C3953">
        <v>1</v>
      </c>
    </row>
    <row r="3954" spans="2:3" hidden="1" x14ac:dyDescent="0.2">
      <c r="B3954" t="s">
        <v>8221</v>
      </c>
      <c r="C3954">
        <v>1</v>
      </c>
    </row>
    <row r="3955" spans="2:3" hidden="1" x14ac:dyDescent="0.2">
      <c r="B3955" t="s">
        <v>8221</v>
      </c>
      <c r="C3955">
        <v>0</v>
      </c>
    </row>
    <row r="3956" spans="2:3" hidden="1" x14ac:dyDescent="0.2">
      <c r="B3956" t="s">
        <v>8221</v>
      </c>
      <c r="C3956">
        <v>0</v>
      </c>
    </row>
    <row r="3957" spans="2:3" hidden="1" x14ac:dyDescent="0.2">
      <c r="B3957" t="s">
        <v>8221</v>
      </c>
      <c r="C3957">
        <v>8</v>
      </c>
    </row>
    <row r="3958" spans="2:3" hidden="1" x14ac:dyDescent="0.2">
      <c r="B3958" t="s">
        <v>8221</v>
      </c>
      <c r="C3958">
        <v>0</v>
      </c>
    </row>
    <row r="3959" spans="2:3" hidden="1" x14ac:dyDescent="0.2">
      <c r="B3959" t="s">
        <v>8221</v>
      </c>
      <c r="C3959">
        <v>1</v>
      </c>
    </row>
    <row r="3960" spans="2:3" hidden="1" x14ac:dyDescent="0.2">
      <c r="B3960" t="s">
        <v>8221</v>
      </c>
      <c r="C3960">
        <v>16</v>
      </c>
    </row>
    <row r="3961" spans="2:3" hidden="1" x14ac:dyDescent="0.2">
      <c r="B3961" t="s">
        <v>8221</v>
      </c>
      <c r="C3961">
        <v>12</v>
      </c>
    </row>
    <row r="3962" spans="2:3" hidden="1" x14ac:dyDescent="0.2">
      <c r="B3962" t="s">
        <v>8221</v>
      </c>
      <c r="C3962">
        <v>4</v>
      </c>
    </row>
    <row r="3963" spans="2:3" hidden="1" x14ac:dyDescent="0.2">
      <c r="B3963" t="s">
        <v>8221</v>
      </c>
      <c r="C3963">
        <v>2</v>
      </c>
    </row>
    <row r="3964" spans="2:3" hidden="1" x14ac:dyDescent="0.2">
      <c r="B3964" t="s">
        <v>8221</v>
      </c>
      <c r="C3964">
        <v>3</v>
      </c>
    </row>
    <row r="3965" spans="2:3" hidden="1" x14ac:dyDescent="0.2">
      <c r="B3965" t="s">
        <v>8221</v>
      </c>
      <c r="C3965">
        <v>0</v>
      </c>
    </row>
    <row r="3966" spans="2:3" hidden="1" x14ac:dyDescent="0.2">
      <c r="B3966" t="s">
        <v>8221</v>
      </c>
      <c r="C3966">
        <v>3</v>
      </c>
    </row>
    <row r="3967" spans="2:3" hidden="1" x14ac:dyDescent="0.2">
      <c r="B3967" t="s">
        <v>8221</v>
      </c>
      <c r="C3967">
        <v>4</v>
      </c>
    </row>
    <row r="3968" spans="2:3" hidden="1" x14ac:dyDescent="0.2">
      <c r="B3968" t="s">
        <v>8221</v>
      </c>
      <c r="C3968">
        <v>2</v>
      </c>
    </row>
    <row r="3969" spans="2:3" hidden="1" x14ac:dyDescent="0.2">
      <c r="B3969" t="s">
        <v>8221</v>
      </c>
      <c r="C3969">
        <v>10</v>
      </c>
    </row>
    <row r="3970" spans="2:3" hidden="1" x14ac:dyDescent="0.2">
      <c r="B3970" t="s">
        <v>8221</v>
      </c>
      <c r="C3970">
        <v>11</v>
      </c>
    </row>
    <row r="3971" spans="2:3" hidden="1" x14ac:dyDescent="0.2">
      <c r="B3971" t="s">
        <v>8221</v>
      </c>
      <c r="C3971">
        <v>6</v>
      </c>
    </row>
    <row r="3972" spans="2:3" hidden="1" x14ac:dyDescent="0.2">
      <c r="B3972" t="s">
        <v>8221</v>
      </c>
      <c r="C3972">
        <v>2</v>
      </c>
    </row>
    <row r="3973" spans="2:3" hidden="1" x14ac:dyDescent="0.2">
      <c r="B3973" t="s">
        <v>8221</v>
      </c>
      <c r="C3973">
        <v>6</v>
      </c>
    </row>
    <row r="3974" spans="2:3" hidden="1" x14ac:dyDescent="0.2">
      <c r="B3974" t="s">
        <v>8221</v>
      </c>
      <c r="C3974">
        <v>8</v>
      </c>
    </row>
    <row r="3975" spans="2:3" hidden="1" x14ac:dyDescent="0.2">
      <c r="B3975" t="s">
        <v>8221</v>
      </c>
      <c r="C3975">
        <v>37</v>
      </c>
    </row>
    <row r="3976" spans="2:3" hidden="1" x14ac:dyDescent="0.2">
      <c r="B3976" t="s">
        <v>8221</v>
      </c>
      <c r="C3976">
        <v>11</v>
      </c>
    </row>
    <row r="3977" spans="2:3" hidden="1" x14ac:dyDescent="0.2">
      <c r="B3977" t="s">
        <v>8221</v>
      </c>
      <c r="C3977">
        <v>0</v>
      </c>
    </row>
    <row r="3978" spans="2:3" hidden="1" x14ac:dyDescent="0.2">
      <c r="B3978" t="s">
        <v>8221</v>
      </c>
      <c r="C3978">
        <v>10</v>
      </c>
    </row>
    <row r="3979" spans="2:3" hidden="1" x14ac:dyDescent="0.2">
      <c r="B3979" t="s">
        <v>8221</v>
      </c>
      <c r="C3979">
        <v>6</v>
      </c>
    </row>
    <row r="3980" spans="2:3" hidden="1" x14ac:dyDescent="0.2">
      <c r="B3980" t="s">
        <v>8221</v>
      </c>
      <c r="C3980">
        <v>8</v>
      </c>
    </row>
    <row r="3981" spans="2:3" hidden="1" x14ac:dyDescent="0.2">
      <c r="B3981" t="s">
        <v>8221</v>
      </c>
      <c r="C3981">
        <v>6</v>
      </c>
    </row>
    <row r="3982" spans="2:3" hidden="1" x14ac:dyDescent="0.2">
      <c r="B3982" t="s">
        <v>8221</v>
      </c>
      <c r="C3982">
        <v>7</v>
      </c>
    </row>
    <row r="3983" spans="2:3" hidden="1" x14ac:dyDescent="0.2">
      <c r="B3983" t="s">
        <v>8221</v>
      </c>
      <c r="C3983">
        <v>7</v>
      </c>
    </row>
    <row r="3984" spans="2:3" hidden="1" x14ac:dyDescent="0.2">
      <c r="B3984" t="s">
        <v>8221</v>
      </c>
      <c r="C3984">
        <v>5</v>
      </c>
    </row>
    <row r="3985" spans="2:3" hidden="1" x14ac:dyDescent="0.2">
      <c r="B3985" t="s">
        <v>8221</v>
      </c>
      <c r="C3985">
        <v>46</v>
      </c>
    </row>
    <row r="3986" spans="2:3" hidden="1" x14ac:dyDescent="0.2">
      <c r="B3986" t="s">
        <v>8221</v>
      </c>
      <c r="C3986">
        <v>10</v>
      </c>
    </row>
    <row r="3987" spans="2:3" hidden="1" x14ac:dyDescent="0.2">
      <c r="B3987" t="s">
        <v>8221</v>
      </c>
      <c r="C3987">
        <v>19</v>
      </c>
    </row>
    <row r="3988" spans="2:3" hidden="1" x14ac:dyDescent="0.2">
      <c r="B3988" t="s">
        <v>8221</v>
      </c>
      <c r="C3988">
        <v>13</v>
      </c>
    </row>
    <row r="3989" spans="2:3" hidden="1" x14ac:dyDescent="0.2">
      <c r="B3989" t="s">
        <v>8221</v>
      </c>
      <c r="C3989">
        <v>13</v>
      </c>
    </row>
    <row r="3990" spans="2:3" hidden="1" x14ac:dyDescent="0.2">
      <c r="B3990" t="s">
        <v>8221</v>
      </c>
      <c r="C3990">
        <v>4</v>
      </c>
    </row>
    <row r="3991" spans="2:3" hidden="1" x14ac:dyDescent="0.2">
      <c r="B3991" t="s">
        <v>8221</v>
      </c>
      <c r="C3991">
        <v>0</v>
      </c>
    </row>
    <row r="3992" spans="2:3" hidden="1" x14ac:dyDescent="0.2">
      <c r="B3992" t="s">
        <v>8221</v>
      </c>
      <c r="C3992">
        <v>3</v>
      </c>
    </row>
    <row r="3993" spans="2:3" hidden="1" x14ac:dyDescent="0.2">
      <c r="B3993" t="s">
        <v>8221</v>
      </c>
      <c r="C3993">
        <v>1</v>
      </c>
    </row>
    <row r="3994" spans="2:3" hidden="1" x14ac:dyDescent="0.2">
      <c r="B3994" t="s">
        <v>8221</v>
      </c>
      <c r="C3994">
        <v>9</v>
      </c>
    </row>
    <row r="3995" spans="2:3" hidden="1" x14ac:dyDescent="0.2">
      <c r="B3995" t="s">
        <v>8221</v>
      </c>
      <c r="C3995">
        <v>1</v>
      </c>
    </row>
    <row r="3996" spans="2:3" hidden="1" x14ac:dyDescent="0.2">
      <c r="B3996" t="s">
        <v>8221</v>
      </c>
      <c r="C3996">
        <v>1</v>
      </c>
    </row>
    <row r="3997" spans="2:3" hidden="1" x14ac:dyDescent="0.2">
      <c r="B3997" t="s">
        <v>8221</v>
      </c>
      <c r="C3997">
        <v>4</v>
      </c>
    </row>
    <row r="3998" spans="2:3" hidden="1" x14ac:dyDescent="0.2">
      <c r="B3998" t="s">
        <v>8221</v>
      </c>
      <c r="C3998">
        <v>17</v>
      </c>
    </row>
    <row r="3999" spans="2:3" hidden="1" x14ac:dyDescent="0.2">
      <c r="B3999" t="s">
        <v>8221</v>
      </c>
      <c r="C3999">
        <v>0</v>
      </c>
    </row>
    <row r="4000" spans="2:3" hidden="1" x14ac:dyDescent="0.2">
      <c r="B4000" t="s">
        <v>8221</v>
      </c>
      <c r="C4000">
        <v>12</v>
      </c>
    </row>
    <row r="4001" spans="2:3" hidden="1" x14ac:dyDescent="0.2">
      <c r="B4001" t="s">
        <v>8221</v>
      </c>
      <c r="C4001">
        <v>14</v>
      </c>
    </row>
    <row r="4002" spans="2:3" hidden="1" x14ac:dyDescent="0.2">
      <c r="B4002" t="s">
        <v>8221</v>
      </c>
      <c r="C4002">
        <v>1</v>
      </c>
    </row>
    <row r="4003" spans="2:3" hidden="1" x14ac:dyDescent="0.2">
      <c r="B4003" t="s">
        <v>8221</v>
      </c>
      <c r="C4003">
        <v>14</v>
      </c>
    </row>
    <row r="4004" spans="2:3" hidden="1" x14ac:dyDescent="0.2">
      <c r="B4004" t="s">
        <v>8221</v>
      </c>
      <c r="C4004">
        <v>4</v>
      </c>
    </row>
    <row r="4005" spans="2:3" hidden="1" x14ac:dyDescent="0.2">
      <c r="B4005" t="s">
        <v>8221</v>
      </c>
      <c r="C4005">
        <v>2</v>
      </c>
    </row>
    <row r="4006" spans="2:3" hidden="1" x14ac:dyDescent="0.2">
      <c r="B4006" t="s">
        <v>8221</v>
      </c>
      <c r="C4006">
        <v>1</v>
      </c>
    </row>
    <row r="4007" spans="2:3" hidden="1" x14ac:dyDescent="0.2">
      <c r="B4007" t="s">
        <v>8221</v>
      </c>
      <c r="C4007">
        <v>2</v>
      </c>
    </row>
    <row r="4008" spans="2:3" hidden="1" x14ac:dyDescent="0.2">
      <c r="B4008" t="s">
        <v>8221</v>
      </c>
      <c r="C4008">
        <v>1</v>
      </c>
    </row>
    <row r="4009" spans="2:3" hidden="1" x14ac:dyDescent="0.2">
      <c r="B4009" t="s">
        <v>8221</v>
      </c>
      <c r="C4009">
        <v>1</v>
      </c>
    </row>
    <row r="4010" spans="2:3" hidden="1" x14ac:dyDescent="0.2">
      <c r="B4010" t="s">
        <v>8221</v>
      </c>
      <c r="C4010">
        <v>4</v>
      </c>
    </row>
    <row r="4011" spans="2:3" hidden="1" x14ac:dyDescent="0.2">
      <c r="B4011" t="s">
        <v>8221</v>
      </c>
      <c r="C4011">
        <v>3</v>
      </c>
    </row>
    <row r="4012" spans="2:3" hidden="1" x14ac:dyDescent="0.2">
      <c r="B4012" t="s">
        <v>8221</v>
      </c>
      <c r="C4012">
        <v>38</v>
      </c>
    </row>
    <row r="4013" spans="2:3" hidden="1" x14ac:dyDescent="0.2">
      <c r="B4013" t="s">
        <v>8221</v>
      </c>
      <c r="C4013">
        <v>4</v>
      </c>
    </row>
    <row r="4014" spans="2:3" hidden="1" x14ac:dyDescent="0.2">
      <c r="B4014" t="s">
        <v>8221</v>
      </c>
      <c r="C4014">
        <v>0</v>
      </c>
    </row>
    <row r="4015" spans="2:3" hidden="1" x14ac:dyDescent="0.2">
      <c r="B4015" t="s">
        <v>8221</v>
      </c>
      <c r="C4015">
        <v>2</v>
      </c>
    </row>
    <row r="4016" spans="2:3" hidden="1" x14ac:dyDescent="0.2">
      <c r="B4016" t="s">
        <v>8221</v>
      </c>
      <c r="C4016">
        <v>0</v>
      </c>
    </row>
    <row r="4017" spans="2:3" hidden="1" x14ac:dyDescent="0.2">
      <c r="B4017" t="s">
        <v>8221</v>
      </c>
      <c r="C4017">
        <v>1</v>
      </c>
    </row>
    <row r="4018" spans="2:3" hidden="1" x14ac:dyDescent="0.2">
      <c r="B4018" t="s">
        <v>8221</v>
      </c>
      <c r="C4018">
        <v>7</v>
      </c>
    </row>
    <row r="4019" spans="2:3" hidden="1" x14ac:dyDescent="0.2">
      <c r="B4019" t="s">
        <v>8221</v>
      </c>
      <c r="C4019">
        <v>2</v>
      </c>
    </row>
    <row r="4020" spans="2:3" hidden="1" x14ac:dyDescent="0.2">
      <c r="B4020" t="s">
        <v>8221</v>
      </c>
      <c r="C4020">
        <v>4</v>
      </c>
    </row>
    <row r="4021" spans="2:3" hidden="1" x14ac:dyDescent="0.2">
      <c r="B4021" t="s">
        <v>8221</v>
      </c>
      <c r="C4021">
        <v>4</v>
      </c>
    </row>
    <row r="4022" spans="2:3" hidden="1" x14ac:dyDescent="0.2">
      <c r="B4022" t="s">
        <v>8221</v>
      </c>
      <c r="C4022">
        <v>3</v>
      </c>
    </row>
    <row r="4023" spans="2:3" hidden="1" x14ac:dyDescent="0.2">
      <c r="B4023" t="s">
        <v>8221</v>
      </c>
      <c r="C4023">
        <v>2</v>
      </c>
    </row>
    <row r="4024" spans="2:3" hidden="1" x14ac:dyDescent="0.2">
      <c r="B4024" t="s">
        <v>8221</v>
      </c>
      <c r="C4024">
        <v>197</v>
      </c>
    </row>
    <row r="4025" spans="2:3" hidden="1" x14ac:dyDescent="0.2">
      <c r="B4025" t="s">
        <v>8221</v>
      </c>
      <c r="C4025">
        <v>0</v>
      </c>
    </row>
    <row r="4026" spans="2:3" hidden="1" x14ac:dyDescent="0.2">
      <c r="B4026" t="s">
        <v>8221</v>
      </c>
      <c r="C4026">
        <v>1</v>
      </c>
    </row>
    <row r="4027" spans="2:3" hidden="1" x14ac:dyDescent="0.2">
      <c r="B4027" t="s">
        <v>8221</v>
      </c>
      <c r="C4027">
        <v>4</v>
      </c>
    </row>
    <row r="4028" spans="2:3" hidden="1" x14ac:dyDescent="0.2">
      <c r="B4028" t="s">
        <v>8221</v>
      </c>
      <c r="C4028">
        <v>0</v>
      </c>
    </row>
    <row r="4029" spans="2:3" hidden="1" x14ac:dyDescent="0.2">
      <c r="B4029" t="s">
        <v>8221</v>
      </c>
      <c r="C4029">
        <v>7</v>
      </c>
    </row>
    <row r="4030" spans="2:3" hidden="1" x14ac:dyDescent="0.2">
      <c r="B4030" t="s">
        <v>8221</v>
      </c>
      <c r="C4030">
        <v>11</v>
      </c>
    </row>
    <row r="4031" spans="2:3" hidden="1" x14ac:dyDescent="0.2">
      <c r="B4031" t="s">
        <v>8221</v>
      </c>
      <c r="C4031">
        <v>0</v>
      </c>
    </row>
    <row r="4032" spans="2:3" hidden="1" x14ac:dyDescent="0.2">
      <c r="B4032" t="s">
        <v>8221</v>
      </c>
      <c r="C4032">
        <v>6</v>
      </c>
    </row>
    <row r="4033" spans="2:3" hidden="1" x14ac:dyDescent="0.2">
      <c r="B4033" t="s">
        <v>8221</v>
      </c>
      <c r="C4033">
        <v>0</v>
      </c>
    </row>
    <row r="4034" spans="2:3" hidden="1" x14ac:dyDescent="0.2">
      <c r="B4034" t="s">
        <v>8221</v>
      </c>
      <c r="C4034">
        <v>7</v>
      </c>
    </row>
    <row r="4035" spans="2:3" hidden="1" x14ac:dyDescent="0.2">
      <c r="B4035" t="s">
        <v>8221</v>
      </c>
      <c r="C4035">
        <v>94</v>
      </c>
    </row>
    <row r="4036" spans="2:3" hidden="1" x14ac:dyDescent="0.2">
      <c r="B4036" t="s">
        <v>8221</v>
      </c>
      <c r="C4036">
        <v>2</v>
      </c>
    </row>
    <row r="4037" spans="2:3" hidden="1" x14ac:dyDescent="0.2">
      <c r="B4037" t="s">
        <v>8221</v>
      </c>
      <c r="C4037">
        <v>25</v>
      </c>
    </row>
    <row r="4038" spans="2:3" hidden="1" x14ac:dyDescent="0.2">
      <c r="B4038" t="s">
        <v>8221</v>
      </c>
      <c r="C4038">
        <v>17</v>
      </c>
    </row>
    <row r="4039" spans="2:3" hidden="1" x14ac:dyDescent="0.2">
      <c r="B4039" t="s">
        <v>8221</v>
      </c>
      <c r="C4039">
        <v>2</v>
      </c>
    </row>
    <row r="4040" spans="2:3" hidden="1" x14ac:dyDescent="0.2">
      <c r="B4040" t="s">
        <v>8221</v>
      </c>
      <c r="C4040">
        <v>4</v>
      </c>
    </row>
    <row r="4041" spans="2:3" hidden="1" x14ac:dyDescent="0.2">
      <c r="B4041" t="s">
        <v>8221</v>
      </c>
      <c r="C4041">
        <v>5</v>
      </c>
    </row>
    <row r="4042" spans="2:3" hidden="1" x14ac:dyDescent="0.2">
      <c r="B4042" t="s">
        <v>8221</v>
      </c>
      <c r="C4042">
        <v>2</v>
      </c>
    </row>
    <row r="4043" spans="2:3" hidden="1" x14ac:dyDescent="0.2">
      <c r="B4043" t="s">
        <v>8221</v>
      </c>
      <c r="C4043">
        <v>2</v>
      </c>
    </row>
    <row r="4044" spans="2:3" hidden="1" x14ac:dyDescent="0.2">
      <c r="B4044" t="s">
        <v>8221</v>
      </c>
      <c r="C4044">
        <v>3</v>
      </c>
    </row>
    <row r="4045" spans="2:3" hidden="1" x14ac:dyDescent="0.2">
      <c r="B4045" t="s">
        <v>8221</v>
      </c>
      <c r="C4045">
        <v>0</v>
      </c>
    </row>
    <row r="4046" spans="2:3" hidden="1" x14ac:dyDescent="0.2">
      <c r="B4046" t="s">
        <v>8221</v>
      </c>
      <c r="C4046">
        <v>4</v>
      </c>
    </row>
    <row r="4047" spans="2:3" hidden="1" x14ac:dyDescent="0.2">
      <c r="B4047" t="s">
        <v>8221</v>
      </c>
      <c r="C4047">
        <v>1</v>
      </c>
    </row>
    <row r="4048" spans="2:3" hidden="1" x14ac:dyDescent="0.2">
      <c r="B4048" t="s">
        <v>8221</v>
      </c>
      <c r="C4048">
        <v>12</v>
      </c>
    </row>
    <row r="4049" spans="2:3" hidden="1" x14ac:dyDescent="0.2">
      <c r="B4049" t="s">
        <v>8221</v>
      </c>
      <c r="C4049">
        <v>4</v>
      </c>
    </row>
    <row r="4050" spans="2:3" hidden="1" x14ac:dyDescent="0.2">
      <c r="B4050" t="s">
        <v>8221</v>
      </c>
      <c r="C4050">
        <v>91</v>
      </c>
    </row>
    <row r="4051" spans="2:3" hidden="1" x14ac:dyDescent="0.2">
      <c r="B4051" t="s">
        <v>8221</v>
      </c>
      <c r="C4051">
        <v>1</v>
      </c>
    </row>
    <row r="4052" spans="2:3" hidden="1" x14ac:dyDescent="0.2">
      <c r="B4052" t="s">
        <v>8221</v>
      </c>
      <c r="C4052">
        <v>1</v>
      </c>
    </row>
    <row r="4053" spans="2:3" hidden="1" x14ac:dyDescent="0.2">
      <c r="B4053" t="s">
        <v>8221</v>
      </c>
      <c r="C4053">
        <v>0</v>
      </c>
    </row>
    <row r="4054" spans="2:3" hidden="1" x14ac:dyDescent="0.2">
      <c r="B4054" t="s">
        <v>8221</v>
      </c>
      <c r="C4054">
        <v>13</v>
      </c>
    </row>
    <row r="4055" spans="2:3" hidden="1" x14ac:dyDescent="0.2">
      <c r="B4055" t="s">
        <v>8221</v>
      </c>
      <c r="C4055">
        <v>2</v>
      </c>
    </row>
    <row r="4056" spans="2:3" hidden="1" x14ac:dyDescent="0.2">
      <c r="B4056" t="s">
        <v>8221</v>
      </c>
      <c r="C4056">
        <v>0</v>
      </c>
    </row>
    <row r="4057" spans="2:3" hidden="1" x14ac:dyDescent="0.2">
      <c r="B4057" t="s">
        <v>8221</v>
      </c>
      <c r="C4057">
        <v>21</v>
      </c>
    </row>
    <row r="4058" spans="2:3" hidden="1" x14ac:dyDescent="0.2">
      <c r="B4058" t="s">
        <v>8221</v>
      </c>
      <c r="C4058">
        <v>9</v>
      </c>
    </row>
    <row r="4059" spans="2:3" hidden="1" x14ac:dyDescent="0.2">
      <c r="B4059" t="s">
        <v>8221</v>
      </c>
      <c r="C4059">
        <v>6</v>
      </c>
    </row>
    <row r="4060" spans="2:3" hidden="1" x14ac:dyDescent="0.2">
      <c r="B4060" t="s">
        <v>8221</v>
      </c>
      <c r="C4060">
        <v>4</v>
      </c>
    </row>
    <row r="4061" spans="2:3" hidden="1" x14ac:dyDescent="0.2">
      <c r="B4061" t="s">
        <v>8221</v>
      </c>
      <c r="C4061">
        <v>7</v>
      </c>
    </row>
    <row r="4062" spans="2:3" hidden="1" x14ac:dyDescent="0.2">
      <c r="B4062" t="s">
        <v>8221</v>
      </c>
      <c r="C4062">
        <v>5</v>
      </c>
    </row>
    <row r="4063" spans="2:3" hidden="1" x14ac:dyDescent="0.2">
      <c r="B4063" t="s">
        <v>8221</v>
      </c>
      <c r="C4063">
        <v>0</v>
      </c>
    </row>
    <row r="4064" spans="2:3" hidden="1" x14ac:dyDescent="0.2">
      <c r="B4064" t="s">
        <v>8221</v>
      </c>
      <c r="C4064">
        <v>3</v>
      </c>
    </row>
    <row r="4065" spans="2:3" hidden="1" x14ac:dyDescent="0.2">
      <c r="B4065" t="s">
        <v>8221</v>
      </c>
      <c r="C4065">
        <v>9</v>
      </c>
    </row>
    <row r="4066" spans="2:3" hidden="1" x14ac:dyDescent="0.2">
      <c r="B4066" t="s">
        <v>8221</v>
      </c>
      <c r="C4066">
        <v>6</v>
      </c>
    </row>
    <row r="4067" spans="2:3" hidden="1" x14ac:dyDescent="0.2">
      <c r="B4067" t="s">
        <v>8221</v>
      </c>
      <c r="C4067">
        <v>4</v>
      </c>
    </row>
    <row r="4068" spans="2:3" hidden="1" x14ac:dyDescent="0.2">
      <c r="B4068" t="s">
        <v>8221</v>
      </c>
      <c r="C4068">
        <v>1</v>
      </c>
    </row>
    <row r="4069" spans="2:3" hidden="1" x14ac:dyDescent="0.2">
      <c r="B4069" t="s">
        <v>8221</v>
      </c>
      <c r="C4069">
        <v>17</v>
      </c>
    </row>
    <row r="4070" spans="2:3" hidden="1" x14ac:dyDescent="0.2">
      <c r="B4070" t="s">
        <v>8221</v>
      </c>
      <c r="C4070">
        <v>1</v>
      </c>
    </row>
    <row r="4071" spans="2:3" hidden="1" x14ac:dyDescent="0.2">
      <c r="B4071" t="s">
        <v>8221</v>
      </c>
      <c r="C4071">
        <v>13</v>
      </c>
    </row>
    <row r="4072" spans="2:3" hidden="1" x14ac:dyDescent="0.2">
      <c r="B4072" t="s">
        <v>8221</v>
      </c>
      <c r="C4072">
        <v>6</v>
      </c>
    </row>
    <row r="4073" spans="2:3" hidden="1" x14ac:dyDescent="0.2">
      <c r="B4073" t="s">
        <v>8221</v>
      </c>
      <c r="C4073">
        <v>0</v>
      </c>
    </row>
    <row r="4074" spans="2:3" hidden="1" x14ac:dyDescent="0.2">
      <c r="B4074" t="s">
        <v>8221</v>
      </c>
      <c r="C4074">
        <v>2</v>
      </c>
    </row>
    <row r="4075" spans="2:3" hidden="1" x14ac:dyDescent="0.2">
      <c r="B4075" t="s">
        <v>8221</v>
      </c>
      <c r="C4075">
        <v>2</v>
      </c>
    </row>
    <row r="4076" spans="2:3" hidden="1" x14ac:dyDescent="0.2">
      <c r="B4076" t="s">
        <v>8221</v>
      </c>
      <c r="C4076">
        <v>21</v>
      </c>
    </row>
    <row r="4077" spans="2:3" hidden="1" x14ac:dyDescent="0.2">
      <c r="B4077" t="s">
        <v>8221</v>
      </c>
      <c r="C4077">
        <v>13</v>
      </c>
    </row>
    <row r="4078" spans="2:3" hidden="1" x14ac:dyDescent="0.2">
      <c r="B4078" t="s">
        <v>8221</v>
      </c>
      <c r="C4078">
        <v>0</v>
      </c>
    </row>
    <row r="4079" spans="2:3" hidden="1" x14ac:dyDescent="0.2">
      <c r="B4079" t="s">
        <v>8221</v>
      </c>
      <c r="C4079">
        <v>6</v>
      </c>
    </row>
    <row r="4080" spans="2:3" hidden="1" x14ac:dyDescent="0.2">
      <c r="B4080" t="s">
        <v>8221</v>
      </c>
      <c r="C4080">
        <v>0</v>
      </c>
    </row>
    <row r="4081" spans="2:3" hidden="1" x14ac:dyDescent="0.2">
      <c r="B4081" t="s">
        <v>8221</v>
      </c>
      <c r="C4081">
        <v>1</v>
      </c>
    </row>
    <row r="4082" spans="2:3" hidden="1" x14ac:dyDescent="0.2">
      <c r="B4082" t="s">
        <v>8221</v>
      </c>
      <c r="C4082">
        <v>0</v>
      </c>
    </row>
    <row r="4083" spans="2:3" hidden="1" x14ac:dyDescent="0.2">
      <c r="B4083" t="s">
        <v>8221</v>
      </c>
      <c r="C4083">
        <v>12</v>
      </c>
    </row>
    <row r="4084" spans="2:3" hidden="1" x14ac:dyDescent="0.2">
      <c r="B4084" t="s">
        <v>8221</v>
      </c>
      <c r="C4084">
        <v>2</v>
      </c>
    </row>
    <row r="4085" spans="2:3" hidden="1" x14ac:dyDescent="0.2">
      <c r="B4085" t="s">
        <v>8221</v>
      </c>
      <c r="C4085">
        <v>6</v>
      </c>
    </row>
    <row r="4086" spans="2:3" hidden="1" x14ac:dyDescent="0.2">
      <c r="B4086" t="s">
        <v>8221</v>
      </c>
      <c r="C4086">
        <v>1</v>
      </c>
    </row>
    <row r="4087" spans="2:3" hidden="1" x14ac:dyDescent="0.2">
      <c r="B4087" t="s">
        <v>8221</v>
      </c>
      <c r="C4087">
        <v>1</v>
      </c>
    </row>
    <row r="4088" spans="2:3" hidden="1" x14ac:dyDescent="0.2">
      <c r="B4088" t="s">
        <v>8221</v>
      </c>
      <c r="C4088">
        <v>5</v>
      </c>
    </row>
    <row r="4089" spans="2:3" hidden="1" x14ac:dyDescent="0.2">
      <c r="B4089" t="s">
        <v>8221</v>
      </c>
      <c r="C4089">
        <v>0</v>
      </c>
    </row>
    <row r="4090" spans="2:3" hidden="1" x14ac:dyDescent="0.2">
      <c r="B4090" t="s">
        <v>8221</v>
      </c>
      <c r="C4090">
        <v>3</v>
      </c>
    </row>
    <row r="4091" spans="2:3" hidden="1" x14ac:dyDescent="0.2">
      <c r="B4091" t="s">
        <v>8221</v>
      </c>
      <c r="C4091">
        <v>8</v>
      </c>
    </row>
    <row r="4092" spans="2:3" hidden="1" x14ac:dyDescent="0.2">
      <c r="B4092" t="s">
        <v>8221</v>
      </c>
      <c r="C4092">
        <v>3</v>
      </c>
    </row>
    <row r="4093" spans="2:3" hidden="1" x14ac:dyDescent="0.2">
      <c r="B4093" t="s">
        <v>8221</v>
      </c>
      <c r="C4093">
        <v>8</v>
      </c>
    </row>
    <row r="4094" spans="2:3" hidden="1" x14ac:dyDescent="0.2">
      <c r="B4094" t="s">
        <v>8221</v>
      </c>
      <c r="C4094">
        <v>1</v>
      </c>
    </row>
    <row r="4095" spans="2:3" hidden="1" x14ac:dyDescent="0.2">
      <c r="B4095" t="s">
        <v>8221</v>
      </c>
      <c r="C4095">
        <v>4</v>
      </c>
    </row>
    <row r="4096" spans="2:3" hidden="1" x14ac:dyDescent="0.2">
      <c r="B4096" t="s">
        <v>8221</v>
      </c>
      <c r="C4096">
        <v>8</v>
      </c>
    </row>
    <row r="4097" spans="2:3" hidden="1" x14ac:dyDescent="0.2">
      <c r="B4097" t="s">
        <v>8221</v>
      </c>
      <c r="C4097">
        <v>1</v>
      </c>
    </row>
    <row r="4098" spans="2:3" hidden="1" x14ac:dyDescent="0.2">
      <c r="B4098" t="s">
        <v>8221</v>
      </c>
      <c r="C4098">
        <v>5</v>
      </c>
    </row>
    <row r="4099" spans="2:3" hidden="1" x14ac:dyDescent="0.2">
      <c r="B4099" t="s">
        <v>8221</v>
      </c>
      <c r="C4099">
        <v>0</v>
      </c>
    </row>
    <row r="4100" spans="2:3" hidden="1" x14ac:dyDescent="0.2">
      <c r="B4100" t="s">
        <v>8221</v>
      </c>
      <c r="C4100">
        <v>0</v>
      </c>
    </row>
    <row r="4101" spans="2:3" hidden="1" x14ac:dyDescent="0.2">
      <c r="B4101" t="s">
        <v>8221</v>
      </c>
      <c r="C4101">
        <v>1</v>
      </c>
    </row>
    <row r="4102" spans="2:3" hidden="1" x14ac:dyDescent="0.2">
      <c r="B4102" t="s">
        <v>8221</v>
      </c>
      <c r="C4102">
        <v>0</v>
      </c>
    </row>
    <row r="4103" spans="2:3" hidden="1" x14ac:dyDescent="0.2">
      <c r="B4103" t="s">
        <v>8221</v>
      </c>
      <c r="C4103">
        <v>0</v>
      </c>
    </row>
    <row r="4104" spans="2:3" hidden="1" x14ac:dyDescent="0.2">
      <c r="B4104" t="s">
        <v>8221</v>
      </c>
      <c r="C4104">
        <v>6</v>
      </c>
    </row>
    <row r="4105" spans="2:3" hidden="1" x14ac:dyDescent="0.2">
      <c r="B4105" t="s">
        <v>8221</v>
      </c>
      <c r="C4105">
        <v>6</v>
      </c>
    </row>
    <row r="4106" spans="2:3" hidden="1" x14ac:dyDescent="0.2">
      <c r="B4106" t="s">
        <v>8221</v>
      </c>
      <c r="C4106">
        <v>14</v>
      </c>
    </row>
    <row r="4107" spans="2:3" hidden="1" x14ac:dyDescent="0.2">
      <c r="B4107" t="s">
        <v>8221</v>
      </c>
      <c r="C4107">
        <v>6</v>
      </c>
    </row>
    <row r="4108" spans="2:3" hidden="1" x14ac:dyDescent="0.2">
      <c r="B4108" t="s">
        <v>8221</v>
      </c>
      <c r="C4108">
        <v>33</v>
      </c>
    </row>
    <row r="4109" spans="2:3" hidden="1" x14ac:dyDescent="0.2">
      <c r="B4109" t="s">
        <v>8221</v>
      </c>
      <c r="C4109">
        <v>4</v>
      </c>
    </row>
    <row r="4110" spans="2:3" hidden="1" x14ac:dyDescent="0.2">
      <c r="B4110" t="s">
        <v>8221</v>
      </c>
      <c r="C4110">
        <v>1</v>
      </c>
    </row>
    <row r="4111" spans="2:3" hidden="1" x14ac:dyDescent="0.2">
      <c r="B4111" t="s">
        <v>8221</v>
      </c>
      <c r="C4111">
        <v>0</v>
      </c>
    </row>
    <row r="4112" spans="2:3" hidden="1" x14ac:dyDescent="0.2">
      <c r="B4112" t="s">
        <v>8221</v>
      </c>
      <c r="C4112">
        <v>6</v>
      </c>
    </row>
    <row r="4113" spans="2:3" hidden="1" x14ac:dyDescent="0.2">
      <c r="B4113" t="s">
        <v>8221</v>
      </c>
      <c r="C4113">
        <v>6</v>
      </c>
    </row>
    <row r="4114" spans="2:3" hidden="1" x14ac:dyDescent="0.2">
      <c r="B4114" t="s">
        <v>8221</v>
      </c>
      <c r="C4114">
        <v>1</v>
      </c>
    </row>
    <row r="4115" spans="2:3" hidden="1" x14ac:dyDescent="0.2">
      <c r="B4115" t="s">
        <v>8221</v>
      </c>
      <c r="C4115">
        <v>3</v>
      </c>
    </row>
  </sheetData>
  <autoFilter ref="B1:C4115" xr:uid="{7B7CD655-915A-774A-A11C-66CD72095C58}">
    <filterColumn colId="0">
      <filters>
        <filter val="successful"/>
      </filters>
    </filterColumn>
    <sortState xmlns:xlrd2="http://schemas.microsoft.com/office/spreadsheetml/2017/richdata2" ref="B2:C3842">
      <sortCondition descending="1" ref="C1:C4115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24F5C-CD0D-CA4C-A315-F5BADECC515E}">
  <sheetPr filterMode="1"/>
  <dimension ref="A1:B4115"/>
  <sheetViews>
    <sheetView workbookViewId="0">
      <selection sqref="A1:B1048576"/>
    </sheetView>
  </sheetViews>
  <sheetFormatPr baseColWidth="10" defaultRowHeight="15" x14ac:dyDescent="0.2"/>
  <cols>
    <col min="1" max="1" width="21.33203125" customWidth="1"/>
    <col min="2" max="2" width="24.5" customWidth="1"/>
  </cols>
  <sheetData>
    <row r="1" spans="1:2" x14ac:dyDescent="0.2">
      <c r="A1" s="1" t="s">
        <v>8218</v>
      </c>
      <c r="B1" s="1" t="s">
        <v>8262</v>
      </c>
    </row>
    <row r="2" spans="1:2" hidden="1" x14ac:dyDescent="0.2">
      <c r="A2" t="s">
        <v>8219</v>
      </c>
      <c r="B2">
        <v>182</v>
      </c>
    </row>
    <row r="3" spans="1:2" hidden="1" x14ac:dyDescent="0.2">
      <c r="A3" t="s">
        <v>8219</v>
      </c>
      <c r="B3">
        <v>79</v>
      </c>
    </row>
    <row r="4" spans="1:2" hidden="1" x14ac:dyDescent="0.2">
      <c r="A4" t="s">
        <v>8219</v>
      </c>
      <c r="B4">
        <v>35</v>
      </c>
    </row>
    <row r="5" spans="1:2" hidden="1" x14ac:dyDescent="0.2">
      <c r="A5" t="s">
        <v>8219</v>
      </c>
      <c r="B5">
        <v>150</v>
      </c>
    </row>
    <row r="6" spans="1:2" hidden="1" x14ac:dyDescent="0.2">
      <c r="A6" t="s">
        <v>8219</v>
      </c>
      <c r="B6">
        <v>284</v>
      </c>
    </row>
    <row r="7" spans="1:2" hidden="1" x14ac:dyDescent="0.2">
      <c r="A7" t="s">
        <v>8219</v>
      </c>
      <c r="B7">
        <v>47</v>
      </c>
    </row>
    <row r="8" spans="1:2" hidden="1" x14ac:dyDescent="0.2">
      <c r="A8" t="s">
        <v>8219</v>
      </c>
      <c r="B8">
        <v>58</v>
      </c>
    </row>
    <row r="9" spans="1:2" hidden="1" x14ac:dyDescent="0.2">
      <c r="A9" t="s">
        <v>8219</v>
      </c>
      <c r="B9">
        <v>57</v>
      </c>
    </row>
    <row r="10" spans="1:2" hidden="1" x14ac:dyDescent="0.2">
      <c r="A10" t="s">
        <v>8219</v>
      </c>
      <c r="B10">
        <v>12</v>
      </c>
    </row>
    <row r="11" spans="1:2" hidden="1" x14ac:dyDescent="0.2">
      <c r="A11" t="s">
        <v>8219</v>
      </c>
      <c r="B11">
        <v>20</v>
      </c>
    </row>
    <row r="12" spans="1:2" hidden="1" x14ac:dyDescent="0.2">
      <c r="A12" t="s">
        <v>8219</v>
      </c>
      <c r="B12">
        <v>19</v>
      </c>
    </row>
    <row r="13" spans="1:2" hidden="1" x14ac:dyDescent="0.2">
      <c r="A13" t="s">
        <v>8219</v>
      </c>
      <c r="B13">
        <v>75</v>
      </c>
    </row>
    <row r="14" spans="1:2" hidden="1" x14ac:dyDescent="0.2">
      <c r="A14" t="s">
        <v>8219</v>
      </c>
      <c r="B14">
        <v>827</v>
      </c>
    </row>
    <row r="15" spans="1:2" hidden="1" x14ac:dyDescent="0.2">
      <c r="A15" t="s">
        <v>8219</v>
      </c>
      <c r="B15">
        <v>51</v>
      </c>
    </row>
    <row r="16" spans="1:2" hidden="1" x14ac:dyDescent="0.2">
      <c r="A16" t="s">
        <v>8219</v>
      </c>
      <c r="B16">
        <v>41</v>
      </c>
    </row>
    <row r="17" spans="1:2" hidden="1" x14ac:dyDescent="0.2">
      <c r="A17" t="s">
        <v>8219</v>
      </c>
      <c r="B17">
        <v>98</v>
      </c>
    </row>
    <row r="18" spans="1:2" hidden="1" x14ac:dyDescent="0.2">
      <c r="A18" t="s">
        <v>8219</v>
      </c>
      <c r="B18">
        <v>70</v>
      </c>
    </row>
    <row r="19" spans="1:2" hidden="1" x14ac:dyDescent="0.2">
      <c r="A19" t="s">
        <v>8219</v>
      </c>
      <c r="B19">
        <v>36</v>
      </c>
    </row>
    <row r="20" spans="1:2" hidden="1" x14ac:dyDescent="0.2">
      <c r="A20" t="s">
        <v>8219</v>
      </c>
      <c r="B20">
        <v>342</v>
      </c>
    </row>
    <row r="21" spans="1:2" hidden="1" x14ac:dyDescent="0.2">
      <c r="A21" t="s">
        <v>8219</v>
      </c>
      <c r="B21">
        <v>22</v>
      </c>
    </row>
    <row r="22" spans="1:2" hidden="1" x14ac:dyDescent="0.2">
      <c r="A22" t="s">
        <v>8219</v>
      </c>
      <c r="B22">
        <v>25</v>
      </c>
    </row>
    <row r="23" spans="1:2" hidden="1" x14ac:dyDescent="0.2">
      <c r="A23" t="s">
        <v>8219</v>
      </c>
      <c r="B23">
        <v>101</v>
      </c>
    </row>
    <row r="24" spans="1:2" hidden="1" x14ac:dyDescent="0.2">
      <c r="A24" t="s">
        <v>8219</v>
      </c>
      <c r="B24">
        <v>8</v>
      </c>
    </row>
    <row r="25" spans="1:2" hidden="1" x14ac:dyDescent="0.2">
      <c r="A25" t="s">
        <v>8219</v>
      </c>
      <c r="B25">
        <v>23</v>
      </c>
    </row>
    <row r="26" spans="1:2" hidden="1" x14ac:dyDescent="0.2">
      <c r="A26" t="s">
        <v>8219</v>
      </c>
      <c r="B26">
        <v>574</v>
      </c>
    </row>
    <row r="27" spans="1:2" hidden="1" x14ac:dyDescent="0.2">
      <c r="A27" t="s">
        <v>8219</v>
      </c>
      <c r="B27">
        <v>14</v>
      </c>
    </row>
    <row r="28" spans="1:2" hidden="1" x14ac:dyDescent="0.2">
      <c r="A28" t="s">
        <v>8219</v>
      </c>
      <c r="B28">
        <v>19</v>
      </c>
    </row>
    <row r="29" spans="1:2" hidden="1" x14ac:dyDescent="0.2">
      <c r="A29" t="s">
        <v>8219</v>
      </c>
      <c r="B29">
        <v>150</v>
      </c>
    </row>
    <row r="30" spans="1:2" hidden="1" x14ac:dyDescent="0.2">
      <c r="A30" t="s">
        <v>8219</v>
      </c>
      <c r="B30">
        <v>71</v>
      </c>
    </row>
    <row r="31" spans="1:2" hidden="1" x14ac:dyDescent="0.2">
      <c r="A31" t="s">
        <v>8219</v>
      </c>
      <c r="B31">
        <v>117</v>
      </c>
    </row>
    <row r="32" spans="1:2" hidden="1" x14ac:dyDescent="0.2">
      <c r="A32" t="s">
        <v>8219</v>
      </c>
      <c r="B32">
        <v>53</v>
      </c>
    </row>
    <row r="33" spans="1:2" hidden="1" x14ac:dyDescent="0.2">
      <c r="A33" t="s">
        <v>8219</v>
      </c>
      <c r="B33">
        <v>1</v>
      </c>
    </row>
    <row r="34" spans="1:2" hidden="1" x14ac:dyDescent="0.2">
      <c r="A34" t="s">
        <v>8219</v>
      </c>
      <c r="B34">
        <v>89</v>
      </c>
    </row>
    <row r="35" spans="1:2" hidden="1" x14ac:dyDescent="0.2">
      <c r="A35" t="s">
        <v>8219</v>
      </c>
      <c r="B35">
        <v>64</v>
      </c>
    </row>
    <row r="36" spans="1:2" hidden="1" x14ac:dyDescent="0.2">
      <c r="A36" t="s">
        <v>8219</v>
      </c>
      <c r="B36">
        <v>68</v>
      </c>
    </row>
    <row r="37" spans="1:2" hidden="1" x14ac:dyDescent="0.2">
      <c r="A37" t="s">
        <v>8219</v>
      </c>
      <c r="B37">
        <v>28</v>
      </c>
    </row>
    <row r="38" spans="1:2" hidden="1" x14ac:dyDescent="0.2">
      <c r="A38" t="s">
        <v>8219</v>
      </c>
      <c r="B38">
        <v>44</v>
      </c>
    </row>
    <row r="39" spans="1:2" hidden="1" x14ac:dyDescent="0.2">
      <c r="A39" t="s">
        <v>8219</v>
      </c>
      <c r="B39">
        <v>253</v>
      </c>
    </row>
    <row r="40" spans="1:2" hidden="1" x14ac:dyDescent="0.2">
      <c r="A40" t="s">
        <v>8219</v>
      </c>
      <c r="B40">
        <v>66</v>
      </c>
    </row>
    <row r="41" spans="1:2" hidden="1" x14ac:dyDescent="0.2">
      <c r="A41" t="s">
        <v>8219</v>
      </c>
      <c r="B41">
        <v>217</v>
      </c>
    </row>
    <row r="42" spans="1:2" hidden="1" x14ac:dyDescent="0.2">
      <c r="A42" t="s">
        <v>8219</v>
      </c>
      <c r="B42">
        <v>16</v>
      </c>
    </row>
    <row r="43" spans="1:2" hidden="1" x14ac:dyDescent="0.2">
      <c r="A43" t="s">
        <v>8219</v>
      </c>
      <c r="B43">
        <v>19</v>
      </c>
    </row>
    <row r="44" spans="1:2" hidden="1" x14ac:dyDescent="0.2">
      <c r="A44" t="s">
        <v>8219</v>
      </c>
      <c r="B44">
        <v>169</v>
      </c>
    </row>
    <row r="45" spans="1:2" hidden="1" x14ac:dyDescent="0.2">
      <c r="A45" t="s">
        <v>8219</v>
      </c>
      <c r="B45">
        <v>263</v>
      </c>
    </row>
    <row r="46" spans="1:2" hidden="1" x14ac:dyDescent="0.2">
      <c r="A46" t="s">
        <v>8219</v>
      </c>
      <c r="B46">
        <v>15</v>
      </c>
    </row>
    <row r="47" spans="1:2" hidden="1" x14ac:dyDescent="0.2">
      <c r="A47" t="s">
        <v>8219</v>
      </c>
      <c r="B47">
        <v>61</v>
      </c>
    </row>
    <row r="48" spans="1:2" hidden="1" x14ac:dyDescent="0.2">
      <c r="A48" t="s">
        <v>8219</v>
      </c>
      <c r="B48">
        <v>45</v>
      </c>
    </row>
    <row r="49" spans="1:2" hidden="1" x14ac:dyDescent="0.2">
      <c r="A49" t="s">
        <v>8219</v>
      </c>
      <c r="B49">
        <v>70</v>
      </c>
    </row>
    <row r="50" spans="1:2" hidden="1" x14ac:dyDescent="0.2">
      <c r="A50" t="s">
        <v>8219</v>
      </c>
      <c r="B50">
        <v>38</v>
      </c>
    </row>
    <row r="51" spans="1:2" hidden="1" x14ac:dyDescent="0.2">
      <c r="A51" t="s">
        <v>8219</v>
      </c>
      <c r="B51">
        <v>87</v>
      </c>
    </row>
    <row r="52" spans="1:2" hidden="1" x14ac:dyDescent="0.2">
      <c r="A52" t="s">
        <v>8219</v>
      </c>
      <c r="B52">
        <v>22</v>
      </c>
    </row>
    <row r="53" spans="1:2" hidden="1" x14ac:dyDescent="0.2">
      <c r="A53" t="s">
        <v>8219</v>
      </c>
      <c r="B53">
        <v>119</v>
      </c>
    </row>
    <row r="54" spans="1:2" hidden="1" x14ac:dyDescent="0.2">
      <c r="A54" t="s">
        <v>8219</v>
      </c>
      <c r="B54">
        <v>52</v>
      </c>
    </row>
    <row r="55" spans="1:2" hidden="1" x14ac:dyDescent="0.2">
      <c r="A55" t="s">
        <v>8219</v>
      </c>
      <c r="B55">
        <v>117</v>
      </c>
    </row>
    <row r="56" spans="1:2" hidden="1" x14ac:dyDescent="0.2">
      <c r="A56" t="s">
        <v>8219</v>
      </c>
      <c r="B56">
        <v>52</v>
      </c>
    </row>
    <row r="57" spans="1:2" hidden="1" x14ac:dyDescent="0.2">
      <c r="A57" t="s">
        <v>8219</v>
      </c>
      <c r="B57">
        <v>86</v>
      </c>
    </row>
    <row r="58" spans="1:2" hidden="1" x14ac:dyDescent="0.2">
      <c r="A58" t="s">
        <v>8219</v>
      </c>
      <c r="B58">
        <v>174</v>
      </c>
    </row>
    <row r="59" spans="1:2" hidden="1" x14ac:dyDescent="0.2">
      <c r="A59" t="s">
        <v>8219</v>
      </c>
      <c r="B59">
        <v>69</v>
      </c>
    </row>
    <row r="60" spans="1:2" hidden="1" x14ac:dyDescent="0.2">
      <c r="A60" t="s">
        <v>8219</v>
      </c>
      <c r="B60">
        <v>75</v>
      </c>
    </row>
    <row r="61" spans="1:2" hidden="1" x14ac:dyDescent="0.2">
      <c r="A61" t="s">
        <v>8219</v>
      </c>
      <c r="B61">
        <v>33</v>
      </c>
    </row>
    <row r="62" spans="1:2" hidden="1" x14ac:dyDescent="0.2">
      <c r="A62" t="s">
        <v>8219</v>
      </c>
      <c r="B62">
        <v>108</v>
      </c>
    </row>
    <row r="63" spans="1:2" hidden="1" x14ac:dyDescent="0.2">
      <c r="A63" t="s">
        <v>8219</v>
      </c>
      <c r="B63">
        <v>23</v>
      </c>
    </row>
    <row r="64" spans="1:2" hidden="1" x14ac:dyDescent="0.2">
      <c r="A64" t="s">
        <v>8219</v>
      </c>
      <c r="B64">
        <v>48</v>
      </c>
    </row>
    <row r="65" spans="1:2" hidden="1" x14ac:dyDescent="0.2">
      <c r="A65" t="s">
        <v>8219</v>
      </c>
      <c r="B65">
        <v>64</v>
      </c>
    </row>
    <row r="66" spans="1:2" hidden="1" x14ac:dyDescent="0.2">
      <c r="A66" t="s">
        <v>8219</v>
      </c>
      <c r="B66">
        <v>24</v>
      </c>
    </row>
    <row r="67" spans="1:2" hidden="1" x14ac:dyDescent="0.2">
      <c r="A67" t="s">
        <v>8219</v>
      </c>
      <c r="B67">
        <v>57</v>
      </c>
    </row>
    <row r="68" spans="1:2" hidden="1" x14ac:dyDescent="0.2">
      <c r="A68" t="s">
        <v>8219</v>
      </c>
      <c r="B68">
        <v>26</v>
      </c>
    </row>
    <row r="69" spans="1:2" hidden="1" x14ac:dyDescent="0.2">
      <c r="A69" t="s">
        <v>8219</v>
      </c>
      <c r="B69">
        <v>20</v>
      </c>
    </row>
    <row r="70" spans="1:2" hidden="1" x14ac:dyDescent="0.2">
      <c r="A70" t="s">
        <v>8219</v>
      </c>
      <c r="B70">
        <v>36</v>
      </c>
    </row>
    <row r="71" spans="1:2" hidden="1" x14ac:dyDescent="0.2">
      <c r="A71" t="s">
        <v>8219</v>
      </c>
      <c r="B71">
        <v>178</v>
      </c>
    </row>
    <row r="72" spans="1:2" hidden="1" x14ac:dyDescent="0.2">
      <c r="A72" t="s">
        <v>8219</v>
      </c>
      <c r="B72">
        <v>17</v>
      </c>
    </row>
    <row r="73" spans="1:2" hidden="1" x14ac:dyDescent="0.2">
      <c r="A73" t="s">
        <v>8219</v>
      </c>
      <c r="B73">
        <v>32</v>
      </c>
    </row>
    <row r="74" spans="1:2" hidden="1" x14ac:dyDescent="0.2">
      <c r="A74" t="s">
        <v>8219</v>
      </c>
      <c r="B74">
        <v>41</v>
      </c>
    </row>
    <row r="75" spans="1:2" hidden="1" x14ac:dyDescent="0.2">
      <c r="A75" t="s">
        <v>8219</v>
      </c>
      <c r="B75">
        <v>18</v>
      </c>
    </row>
    <row r="76" spans="1:2" hidden="1" x14ac:dyDescent="0.2">
      <c r="A76" t="s">
        <v>8219</v>
      </c>
      <c r="B76">
        <v>29</v>
      </c>
    </row>
    <row r="77" spans="1:2" hidden="1" x14ac:dyDescent="0.2">
      <c r="A77" t="s">
        <v>8219</v>
      </c>
      <c r="B77">
        <v>47</v>
      </c>
    </row>
    <row r="78" spans="1:2" hidden="1" x14ac:dyDescent="0.2">
      <c r="A78" t="s">
        <v>8219</v>
      </c>
      <c r="B78">
        <v>15</v>
      </c>
    </row>
    <row r="79" spans="1:2" hidden="1" x14ac:dyDescent="0.2">
      <c r="A79" t="s">
        <v>8219</v>
      </c>
      <c r="B79">
        <v>26</v>
      </c>
    </row>
    <row r="80" spans="1:2" hidden="1" x14ac:dyDescent="0.2">
      <c r="A80" t="s">
        <v>8219</v>
      </c>
      <c r="B80">
        <v>35</v>
      </c>
    </row>
    <row r="81" spans="1:2" hidden="1" x14ac:dyDescent="0.2">
      <c r="A81" t="s">
        <v>8219</v>
      </c>
      <c r="B81">
        <v>41</v>
      </c>
    </row>
    <row r="82" spans="1:2" hidden="1" x14ac:dyDescent="0.2">
      <c r="A82" t="s">
        <v>8219</v>
      </c>
      <c r="B82">
        <v>47</v>
      </c>
    </row>
    <row r="83" spans="1:2" hidden="1" x14ac:dyDescent="0.2">
      <c r="A83" t="s">
        <v>8219</v>
      </c>
      <c r="B83">
        <v>28</v>
      </c>
    </row>
    <row r="84" spans="1:2" hidden="1" x14ac:dyDescent="0.2">
      <c r="A84" t="s">
        <v>8219</v>
      </c>
      <c r="B84">
        <v>100</v>
      </c>
    </row>
    <row r="85" spans="1:2" hidden="1" x14ac:dyDescent="0.2">
      <c r="A85" t="s">
        <v>8219</v>
      </c>
      <c r="B85">
        <v>13</v>
      </c>
    </row>
    <row r="86" spans="1:2" hidden="1" x14ac:dyDescent="0.2">
      <c r="A86" t="s">
        <v>8219</v>
      </c>
      <c r="B86">
        <v>7</v>
      </c>
    </row>
    <row r="87" spans="1:2" hidden="1" x14ac:dyDescent="0.2">
      <c r="A87" t="s">
        <v>8219</v>
      </c>
      <c r="B87">
        <v>21</v>
      </c>
    </row>
    <row r="88" spans="1:2" hidden="1" x14ac:dyDescent="0.2">
      <c r="A88" t="s">
        <v>8219</v>
      </c>
      <c r="B88">
        <v>17</v>
      </c>
    </row>
    <row r="89" spans="1:2" hidden="1" x14ac:dyDescent="0.2">
      <c r="A89" t="s">
        <v>8219</v>
      </c>
      <c r="B89">
        <v>25</v>
      </c>
    </row>
    <row r="90" spans="1:2" hidden="1" x14ac:dyDescent="0.2">
      <c r="A90" t="s">
        <v>8219</v>
      </c>
      <c r="B90">
        <v>60</v>
      </c>
    </row>
    <row r="91" spans="1:2" hidden="1" x14ac:dyDescent="0.2">
      <c r="A91" t="s">
        <v>8219</v>
      </c>
      <c r="B91">
        <v>56</v>
      </c>
    </row>
    <row r="92" spans="1:2" hidden="1" x14ac:dyDescent="0.2">
      <c r="A92" t="s">
        <v>8219</v>
      </c>
      <c r="B92">
        <v>16</v>
      </c>
    </row>
    <row r="93" spans="1:2" hidden="1" x14ac:dyDescent="0.2">
      <c r="A93" t="s">
        <v>8219</v>
      </c>
      <c r="B93">
        <v>46</v>
      </c>
    </row>
    <row r="94" spans="1:2" hidden="1" x14ac:dyDescent="0.2">
      <c r="A94" t="s">
        <v>8219</v>
      </c>
      <c r="B94">
        <v>43</v>
      </c>
    </row>
    <row r="95" spans="1:2" hidden="1" x14ac:dyDescent="0.2">
      <c r="A95" t="s">
        <v>8219</v>
      </c>
      <c r="B95">
        <v>15</v>
      </c>
    </row>
    <row r="96" spans="1:2" hidden="1" x14ac:dyDescent="0.2">
      <c r="A96" t="s">
        <v>8219</v>
      </c>
      <c r="B96">
        <v>12</v>
      </c>
    </row>
    <row r="97" spans="1:2" hidden="1" x14ac:dyDescent="0.2">
      <c r="A97" t="s">
        <v>8219</v>
      </c>
      <c r="B97">
        <v>21</v>
      </c>
    </row>
    <row r="98" spans="1:2" hidden="1" x14ac:dyDescent="0.2">
      <c r="A98" t="s">
        <v>8219</v>
      </c>
      <c r="B98">
        <v>34</v>
      </c>
    </row>
    <row r="99" spans="1:2" hidden="1" x14ac:dyDescent="0.2">
      <c r="A99" t="s">
        <v>8219</v>
      </c>
      <c r="B99">
        <v>8</v>
      </c>
    </row>
    <row r="100" spans="1:2" hidden="1" x14ac:dyDescent="0.2">
      <c r="A100" t="s">
        <v>8219</v>
      </c>
      <c r="B100">
        <v>60</v>
      </c>
    </row>
    <row r="101" spans="1:2" hidden="1" x14ac:dyDescent="0.2">
      <c r="A101" t="s">
        <v>8219</v>
      </c>
      <c r="B101">
        <v>39</v>
      </c>
    </row>
    <row r="102" spans="1:2" hidden="1" x14ac:dyDescent="0.2">
      <c r="A102" t="s">
        <v>8219</v>
      </c>
      <c r="B102">
        <v>26</v>
      </c>
    </row>
    <row r="103" spans="1:2" hidden="1" x14ac:dyDescent="0.2">
      <c r="A103" t="s">
        <v>8219</v>
      </c>
      <c r="B103">
        <v>35</v>
      </c>
    </row>
    <row r="104" spans="1:2" hidden="1" x14ac:dyDescent="0.2">
      <c r="A104" t="s">
        <v>8219</v>
      </c>
      <c r="B104">
        <v>65</v>
      </c>
    </row>
    <row r="105" spans="1:2" hidden="1" x14ac:dyDescent="0.2">
      <c r="A105" t="s">
        <v>8219</v>
      </c>
      <c r="B105">
        <v>49</v>
      </c>
    </row>
    <row r="106" spans="1:2" hidden="1" x14ac:dyDescent="0.2">
      <c r="A106" t="s">
        <v>8219</v>
      </c>
      <c r="B106">
        <v>10</v>
      </c>
    </row>
    <row r="107" spans="1:2" hidden="1" x14ac:dyDescent="0.2">
      <c r="A107" t="s">
        <v>8219</v>
      </c>
      <c r="B107">
        <v>60</v>
      </c>
    </row>
    <row r="108" spans="1:2" hidden="1" x14ac:dyDescent="0.2">
      <c r="A108" t="s">
        <v>8219</v>
      </c>
      <c r="B108">
        <v>27</v>
      </c>
    </row>
    <row r="109" spans="1:2" hidden="1" x14ac:dyDescent="0.2">
      <c r="A109" t="s">
        <v>8219</v>
      </c>
      <c r="B109">
        <v>69</v>
      </c>
    </row>
    <row r="110" spans="1:2" hidden="1" x14ac:dyDescent="0.2">
      <c r="A110" t="s">
        <v>8219</v>
      </c>
      <c r="B110">
        <v>47</v>
      </c>
    </row>
    <row r="111" spans="1:2" hidden="1" x14ac:dyDescent="0.2">
      <c r="A111" t="s">
        <v>8219</v>
      </c>
      <c r="B111">
        <v>47</v>
      </c>
    </row>
    <row r="112" spans="1:2" hidden="1" x14ac:dyDescent="0.2">
      <c r="A112" t="s">
        <v>8219</v>
      </c>
      <c r="B112">
        <v>26</v>
      </c>
    </row>
    <row r="113" spans="1:2" hidden="1" x14ac:dyDescent="0.2">
      <c r="A113" t="s">
        <v>8219</v>
      </c>
      <c r="B113">
        <v>53</v>
      </c>
    </row>
    <row r="114" spans="1:2" hidden="1" x14ac:dyDescent="0.2">
      <c r="A114" t="s">
        <v>8219</v>
      </c>
      <c r="B114">
        <v>81</v>
      </c>
    </row>
    <row r="115" spans="1:2" hidden="1" x14ac:dyDescent="0.2">
      <c r="A115" t="s">
        <v>8219</v>
      </c>
      <c r="B115">
        <v>78</v>
      </c>
    </row>
    <row r="116" spans="1:2" hidden="1" x14ac:dyDescent="0.2">
      <c r="A116" t="s">
        <v>8219</v>
      </c>
      <c r="B116">
        <v>35</v>
      </c>
    </row>
    <row r="117" spans="1:2" hidden="1" x14ac:dyDescent="0.2">
      <c r="A117" t="s">
        <v>8219</v>
      </c>
      <c r="B117">
        <v>22</v>
      </c>
    </row>
    <row r="118" spans="1:2" hidden="1" x14ac:dyDescent="0.2">
      <c r="A118" t="s">
        <v>8219</v>
      </c>
      <c r="B118">
        <v>57</v>
      </c>
    </row>
    <row r="119" spans="1:2" hidden="1" x14ac:dyDescent="0.2">
      <c r="A119" t="s">
        <v>8219</v>
      </c>
      <c r="B119">
        <v>27</v>
      </c>
    </row>
    <row r="120" spans="1:2" hidden="1" x14ac:dyDescent="0.2">
      <c r="A120" t="s">
        <v>8219</v>
      </c>
      <c r="B120">
        <v>39</v>
      </c>
    </row>
    <row r="121" spans="1:2" hidden="1" x14ac:dyDescent="0.2">
      <c r="A121" t="s">
        <v>8219</v>
      </c>
      <c r="B121">
        <v>37</v>
      </c>
    </row>
    <row r="122" spans="1:2" hidden="1" x14ac:dyDescent="0.2">
      <c r="A122" t="s">
        <v>8220</v>
      </c>
      <c r="B122">
        <v>1</v>
      </c>
    </row>
    <row r="123" spans="1:2" hidden="1" x14ac:dyDescent="0.2">
      <c r="A123" t="s">
        <v>8220</v>
      </c>
      <c r="B123">
        <v>1</v>
      </c>
    </row>
    <row r="124" spans="1:2" hidden="1" x14ac:dyDescent="0.2">
      <c r="A124" t="s">
        <v>8220</v>
      </c>
      <c r="B124">
        <v>0</v>
      </c>
    </row>
    <row r="125" spans="1:2" hidden="1" x14ac:dyDescent="0.2">
      <c r="A125" t="s">
        <v>8220</v>
      </c>
      <c r="B125">
        <v>6</v>
      </c>
    </row>
    <row r="126" spans="1:2" hidden="1" x14ac:dyDescent="0.2">
      <c r="A126" t="s">
        <v>8220</v>
      </c>
      <c r="B126">
        <v>0</v>
      </c>
    </row>
    <row r="127" spans="1:2" hidden="1" x14ac:dyDescent="0.2">
      <c r="A127" t="s">
        <v>8220</v>
      </c>
      <c r="B127">
        <v>6</v>
      </c>
    </row>
    <row r="128" spans="1:2" hidden="1" x14ac:dyDescent="0.2">
      <c r="A128" t="s">
        <v>8220</v>
      </c>
      <c r="B128">
        <v>13</v>
      </c>
    </row>
    <row r="129" spans="1:2" hidden="1" x14ac:dyDescent="0.2">
      <c r="A129" t="s">
        <v>8220</v>
      </c>
      <c r="B129">
        <v>4</v>
      </c>
    </row>
    <row r="130" spans="1:2" hidden="1" x14ac:dyDescent="0.2">
      <c r="A130" t="s">
        <v>8220</v>
      </c>
      <c r="B130">
        <v>6</v>
      </c>
    </row>
    <row r="131" spans="1:2" hidden="1" x14ac:dyDescent="0.2">
      <c r="A131" t="s">
        <v>8220</v>
      </c>
      <c r="B131">
        <v>0</v>
      </c>
    </row>
    <row r="132" spans="1:2" hidden="1" x14ac:dyDescent="0.2">
      <c r="A132" t="s">
        <v>8220</v>
      </c>
      <c r="B132">
        <v>0</v>
      </c>
    </row>
    <row r="133" spans="1:2" hidden="1" x14ac:dyDescent="0.2">
      <c r="A133" t="s">
        <v>8220</v>
      </c>
      <c r="B133">
        <v>0</v>
      </c>
    </row>
    <row r="134" spans="1:2" hidden="1" x14ac:dyDescent="0.2">
      <c r="A134" t="s">
        <v>8220</v>
      </c>
      <c r="B134">
        <v>81</v>
      </c>
    </row>
    <row r="135" spans="1:2" hidden="1" x14ac:dyDescent="0.2">
      <c r="A135" t="s">
        <v>8220</v>
      </c>
      <c r="B135">
        <v>0</v>
      </c>
    </row>
    <row r="136" spans="1:2" hidden="1" x14ac:dyDescent="0.2">
      <c r="A136" t="s">
        <v>8220</v>
      </c>
      <c r="B136">
        <v>0</v>
      </c>
    </row>
    <row r="137" spans="1:2" hidden="1" x14ac:dyDescent="0.2">
      <c r="A137" t="s">
        <v>8220</v>
      </c>
      <c r="B137">
        <v>5</v>
      </c>
    </row>
    <row r="138" spans="1:2" hidden="1" x14ac:dyDescent="0.2">
      <c r="A138" t="s">
        <v>8220</v>
      </c>
      <c r="B138">
        <v>0</v>
      </c>
    </row>
    <row r="139" spans="1:2" hidden="1" x14ac:dyDescent="0.2">
      <c r="A139" t="s">
        <v>8220</v>
      </c>
      <c r="B139">
        <v>0</v>
      </c>
    </row>
    <row r="140" spans="1:2" hidden="1" x14ac:dyDescent="0.2">
      <c r="A140" t="s">
        <v>8220</v>
      </c>
      <c r="B140">
        <v>58</v>
      </c>
    </row>
    <row r="141" spans="1:2" hidden="1" x14ac:dyDescent="0.2">
      <c r="A141" t="s">
        <v>8220</v>
      </c>
      <c r="B141">
        <v>1</v>
      </c>
    </row>
    <row r="142" spans="1:2" hidden="1" x14ac:dyDescent="0.2">
      <c r="A142" t="s">
        <v>8220</v>
      </c>
      <c r="B142">
        <v>0</v>
      </c>
    </row>
    <row r="143" spans="1:2" hidden="1" x14ac:dyDescent="0.2">
      <c r="A143" t="s">
        <v>8220</v>
      </c>
      <c r="B143">
        <v>28</v>
      </c>
    </row>
    <row r="144" spans="1:2" hidden="1" x14ac:dyDescent="0.2">
      <c r="A144" t="s">
        <v>8220</v>
      </c>
      <c r="B144">
        <v>1</v>
      </c>
    </row>
    <row r="145" spans="1:2" hidden="1" x14ac:dyDescent="0.2">
      <c r="A145" t="s">
        <v>8220</v>
      </c>
      <c r="B145">
        <v>0</v>
      </c>
    </row>
    <row r="146" spans="1:2" hidden="1" x14ac:dyDescent="0.2">
      <c r="A146" t="s">
        <v>8220</v>
      </c>
      <c r="B146">
        <v>37</v>
      </c>
    </row>
    <row r="147" spans="1:2" hidden="1" x14ac:dyDescent="0.2">
      <c r="A147" t="s">
        <v>8220</v>
      </c>
      <c r="B147">
        <v>9</v>
      </c>
    </row>
    <row r="148" spans="1:2" hidden="1" x14ac:dyDescent="0.2">
      <c r="A148" t="s">
        <v>8220</v>
      </c>
      <c r="B148">
        <v>3</v>
      </c>
    </row>
    <row r="149" spans="1:2" hidden="1" x14ac:dyDescent="0.2">
      <c r="A149" t="s">
        <v>8220</v>
      </c>
      <c r="B149">
        <v>0</v>
      </c>
    </row>
    <row r="150" spans="1:2" hidden="1" x14ac:dyDescent="0.2">
      <c r="A150" t="s">
        <v>8220</v>
      </c>
      <c r="B150">
        <v>2</v>
      </c>
    </row>
    <row r="151" spans="1:2" hidden="1" x14ac:dyDescent="0.2">
      <c r="A151" t="s">
        <v>8220</v>
      </c>
      <c r="B151">
        <v>6</v>
      </c>
    </row>
    <row r="152" spans="1:2" hidden="1" x14ac:dyDescent="0.2">
      <c r="A152" t="s">
        <v>8220</v>
      </c>
      <c r="B152">
        <v>67</v>
      </c>
    </row>
    <row r="153" spans="1:2" hidden="1" x14ac:dyDescent="0.2">
      <c r="A153" t="s">
        <v>8220</v>
      </c>
      <c r="B153">
        <v>5</v>
      </c>
    </row>
    <row r="154" spans="1:2" hidden="1" x14ac:dyDescent="0.2">
      <c r="A154" t="s">
        <v>8220</v>
      </c>
      <c r="B154">
        <v>2</v>
      </c>
    </row>
    <row r="155" spans="1:2" hidden="1" x14ac:dyDescent="0.2">
      <c r="A155" t="s">
        <v>8220</v>
      </c>
      <c r="B155">
        <v>10</v>
      </c>
    </row>
    <row r="156" spans="1:2" hidden="1" x14ac:dyDescent="0.2">
      <c r="A156" t="s">
        <v>8220</v>
      </c>
      <c r="B156">
        <v>3</v>
      </c>
    </row>
    <row r="157" spans="1:2" hidden="1" x14ac:dyDescent="0.2">
      <c r="A157" t="s">
        <v>8220</v>
      </c>
      <c r="B157">
        <v>4</v>
      </c>
    </row>
    <row r="158" spans="1:2" hidden="1" x14ac:dyDescent="0.2">
      <c r="A158" t="s">
        <v>8220</v>
      </c>
      <c r="B158">
        <v>15</v>
      </c>
    </row>
    <row r="159" spans="1:2" hidden="1" x14ac:dyDescent="0.2">
      <c r="A159" t="s">
        <v>8220</v>
      </c>
      <c r="B159">
        <v>2</v>
      </c>
    </row>
    <row r="160" spans="1:2" hidden="1" x14ac:dyDescent="0.2">
      <c r="A160" t="s">
        <v>8220</v>
      </c>
      <c r="B160">
        <v>0</v>
      </c>
    </row>
    <row r="161" spans="1:2" hidden="1" x14ac:dyDescent="0.2">
      <c r="A161" t="s">
        <v>8220</v>
      </c>
      <c r="B161">
        <v>1</v>
      </c>
    </row>
    <row r="162" spans="1:2" x14ac:dyDescent="0.2">
      <c r="A162" t="s">
        <v>8221</v>
      </c>
      <c r="B162">
        <v>1293</v>
      </c>
    </row>
    <row r="163" spans="1:2" x14ac:dyDescent="0.2">
      <c r="A163" t="s">
        <v>8221</v>
      </c>
      <c r="B163">
        <v>975</v>
      </c>
    </row>
    <row r="164" spans="1:2" x14ac:dyDescent="0.2">
      <c r="A164" t="s">
        <v>8221</v>
      </c>
      <c r="B164">
        <v>890</v>
      </c>
    </row>
    <row r="165" spans="1:2" x14ac:dyDescent="0.2">
      <c r="A165" t="s">
        <v>8221</v>
      </c>
      <c r="B165">
        <v>534</v>
      </c>
    </row>
    <row r="166" spans="1:2" x14ac:dyDescent="0.2">
      <c r="A166" t="s">
        <v>8221</v>
      </c>
      <c r="B166">
        <v>456</v>
      </c>
    </row>
    <row r="167" spans="1:2" x14ac:dyDescent="0.2">
      <c r="A167" t="s">
        <v>8221</v>
      </c>
      <c r="B167">
        <v>369</v>
      </c>
    </row>
    <row r="168" spans="1:2" x14ac:dyDescent="0.2">
      <c r="A168" t="s">
        <v>8221</v>
      </c>
      <c r="B168">
        <v>338</v>
      </c>
    </row>
    <row r="169" spans="1:2" x14ac:dyDescent="0.2">
      <c r="A169" t="s">
        <v>8221</v>
      </c>
      <c r="B169">
        <v>336</v>
      </c>
    </row>
    <row r="170" spans="1:2" x14ac:dyDescent="0.2">
      <c r="A170" t="s">
        <v>8221</v>
      </c>
      <c r="B170">
        <v>312</v>
      </c>
    </row>
    <row r="171" spans="1:2" x14ac:dyDescent="0.2">
      <c r="A171" t="s">
        <v>8221</v>
      </c>
      <c r="B171">
        <v>311</v>
      </c>
    </row>
    <row r="172" spans="1:2" x14ac:dyDescent="0.2">
      <c r="A172" t="s">
        <v>8221</v>
      </c>
      <c r="B172">
        <v>310</v>
      </c>
    </row>
    <row r="173" spans="1:2" x14ac:dyDescent="0.2">
      <c r="A173" t="s">
        <v>8221</v>
      </c>
      <c r="B173">
        <v>296</v>
      </c>
    </row>
    <row r="174" spans="1:2" x14ac:dyDescent="0.2">
      <c r="A174" t="s">
        <v>8221</v>
      </c>
      <c r="B174">
        <v>285</v>
      </c>
    </row>
    <row r="175" spans="1:2" x14ac:dyDescent="0.2">
      <c r="A175" t="s">
        <v>8221</v>
      </c>
      <c r="B175">
        <v>236</v>
      </c>
    </row>
    <row r="176" spans="1:2" x14ac:dyDescent="0.2">
      <c r="A176" t="s">
        <v>8221</v>
      </c>
      <c r="B176">
        <v>229</v>
      </c>
    </row>
    <row r="177" spans="1:2" x14ac:dyDescent="0.2">
      <c r="A177" t="s">
        <v>8221</v>
      </c>
      <c r="B177">
        <v>215</v>
      </c>
    </row>
    <row r="178" spans="1:2" x14ac:dyDescent="0.2">
      <c r="A178" t="s">
        <v>8221</v>
      </c>
      <c r="B178">
        <v>202</v>
      </c>
    </row>
    <row r="179" spans="1:2" x14ac:dyDescent="0.2">
      <c r="A179" t="s">
        <v>8221</v>
      </c>
      <c r="B179">
        <v>201</v>
      </c>
    </row>
    <row r="180" spans="1:2" x14ac:dyDescent="0.2">
      <c r="A180" t="s">
        <v>8221</v>
      </c>
      <c r="B180">
        <v>197</v>
      </c>
    </row>
    <row r="181" spans="1:2" x14ac:dyDescent="0.2">
      <c r="A181" t="s">
        <v>8221</v>
      </c>
      <c r="B181">
        <v>196</v>
      </c>
    </row>
    <row r="182" spans="1:2" x14ac:dyDescent="0.2">
      <c r="A182" t="s">
        <v>8221</v>
      </c>
      <c r="B182">
        <v>196</v>
      </c>
    </row>
    <row r="183" spans="1:2" x14ac:dyDescent="0.2">
      <c r="A183" t="s">
        <v>8221</v>
      </c>
      <c r="B183">
        <v>188</v>
      </c>
    </row>
    <row r="184" spans="1:2" x14ac:dyDescent="0.2">
      <c r="A184" t="s">
        <v>8221</v>
      </c>
      <c r="B184">
        <v>185</v>
      </c>
    </row>
    <row r="185" spans="1:2" x14ac:dyDescent="0.2">
      <c r="A185" t="s">
        <v>8221</v>
      </c>
      <c r="B185">
        <v>179</v>
      </c>
    </row>
    <row r="186" spans="1:2" x14ac:dyDescent="0.2">
      <c r="A186" t="s">
        <v>8221</v>
      </c>
      <c r="B186">
        <v>171</v>
      </c>
    </row>
    <row r="187" spans="1:2" x14ac:dyDescent="0.2">
      <c r="A187" t="s">
        <v>8221</v>
      </c>
      <c r="B187">
        <v>171</v>
      </c>
    </row>
    <row r="188" spans="1:2" x14ac:dyDescent="0.2">
      <c r="A188" t="s">
        <v>8221</v>
      </c>
      <c r="B188">
        <v>170</v>
      </c>
    </row>
    <row r="189" spans="1:2" x14ac:dyDescent="0.2">
      <c r="A189" t="s">
        <v>8221</v>
      </c>
      <c r="B189">
        <v>167</v>
      </c>
    </row>
    <row r="190" spans="1:2" x14ac:dyDescent="0.2">
      <c r="A190" t="s">
        <v>8221</v>
      </c>
      <c r="B190">
        <v>152</v>
      </c>
    </row>
    <row r="191" spans="1:2" x14ac:dyDescent="0.2">
      <c r="A191" t="s">
        <v>8221</v>
      </c>
      <c r="B191">
        <v>148</v>
      </c>
    </row>
    <row r="192" spans="1:2" x14ac:dyDescent="0.2">
      <c r="A192" t="s">
        <v>8221</v>
      </c>
      <c r="B192">
        <v>147</v>
      </c>
    </row>
    <row r="193" spans="1:2" x14ac:dyDescent="0.2">
      <c r="A193" t="s">
        <v>8221</v>
      </c>
      <c r="B193">
        <v>147</v>
      </c>
    </row>
    <row r="194" spans="1:2" x14ac:dyDescent="0.2">
      <c r="A194" t="s">
        <v>8221</v>
      </c>
      <c r="B194">
        <v>140</v>
      </c>
    </row>
    <row r="195" spans="1:2" x14ac:dyDescent="0.2">
      <c r="A195" t="s">
        <v>8221</v>
      </c>
      <c r="B195">
        <v>140</v>
      </c>
    </row>
    <row r="196" spans="1:2" x14ac:dyDescent="0.2">
      <c r="A196" t="s">
        <v>8221</v>
      </c>
      <c r="B196">
        <v>140</v>
      </c>
    </row>
    <row r="197" spans="1:2" x14ac:dyDescent="0.2">
      <c r="A197" t="s">
        <v>8221</v>
      </c>
      <c r="B197">
        <v>139</v>
      </c>
    </row>
    <row r="198" spans="1:2" x14ac:dyDescent="0.2">
      <c r="A198" t="s">
        <v>8221</v>
      </c>
      <c r="B198">
        <v>135</v>
      </c>
    </row>
    <row r="199" spans="1:2" x14ac:dyDescent="0.2">
      <c r="A199" t="s">
        <v>8221</v>
      </c>
      <c r="B199">
        <v>129</v>
      </c>
    </row>
    <row r="200" spans="1:2" x14ac:dyDescent="0.2">
      <c r="A200" t="s">
        <v>8221</v>
      </c>
      <c r="B200">
        <v>125</v>
      </c>
    </row>
    <row r="201" spans="1:2" x14ac:dyDescent="0.2">
      <c r="A201" t="s">
        <v>8221</v>
      </c>
      <c r="B201">
        <v>124</v>
      </c>
    </row>
    <row r="202" spans="1:2" x14ac:dyDescent="0.2">
      <c r="A202" t="s">
        <v>8221</v>
      </c>
      <c r="B202">
        <v>124</v>
      </c>
    </row>
    <row r="203" spans="1:2" x14ac:dyDescent="0.2">
      <c r="A203" t="s">
        <v>8221</v>
      </c>
      <c r="B203">
        <v>123</v>
      </c>
    </row>
    <row r="204" spans="1:2" x14ac:dyDescent="0.2">
      <c r="A204" t="s">
        <v>8221</v>
      </c>
      <c r="B204">
        <v>123</v>
      </c>
    </row>
    <row r="205" spans="1:2" x14ac:dyDescent="0.2">
      <c r="A205" t="s">
        <v>8221</v>
      </c>
      <c r="B205">
        <v>122</v>
      </c>
    </row>
    <row r="206" spans="1:2" x14ac:dyDescent="0.2">
      <c r="A206" t="s">
        <v>8221</v>
      </c>
      <c r="B206">
        <v>121</v>
      </c>
    </row>
    <row r="207" spans="1:2" x14ac:dyDescent="0.2">
      <c r="A207" t="s">
        <v>8221</v>
      </c>
      <c r="B207">
        <v>118</v>
      </c>
    </row>
    <row r="208" spans="1:2" x14ac:dyDescent="0.2">
      <c r="A208" t="s">
        <v>8221</v>
      </c>
      <c r="B208">
        <v>117</v>
      </c>
    </row>
    <row r="209" spans="1:2" x14ac:dyDescent="0.2">
      <c r="A209" t="s">
        <v>8221</v>
      </c>
      <c r="B209">
        <v>114</v>
      </c>
    </row>
    <row r="210" spans="1:2" x14ac:dyDescent="0.2">
      <c r="A210" t="s">
        <v>8221</v>
      </c>
      <c r="B210">
        <v>114</v>
      </c>
    </row>
    <row r="211" spans="1:2" x14ac:dyDescent="0.2">
      <c r="A211" t="s">
        <v>8221</v>
      </c>
      <c r="B211">
        <v>113</v>
      </c>
    </row>
    <row r="212" spans="1:2" x14ac:dyDescent="0.2">
      <c r="A212" t="s">
        <v>8221</v>
      </c>
      <c r="B212">
        <v>110</v>
      </c>
    </row>
    <row r="213" spans="1:2" x14ac:dyDescent="0.2">
      <c r="A213" t="s">
        <v>8221</v>
      </c>
      <c r="B213">
        <v>108</v>
      </c>
    </row>
    <row r="214" spans="1:2" x14ac:dyDescent="0.2">
      <c r="A214" t="s">
        <v>8221</v>
      </c>
      <c r="B214">
        <v>105</v>
      </c>
    </row>
    <row r="215" spans="1:2" x14ac:dyDescent="0.2">
      <c r="A215" t="s">
        <v>8221</v>
      </c>
      <c r="B215">
        <v>103</v>
      </c>
    </row>
    <row r="216" spans="1:2" x14ac:dyDescent="0.2">
      <c r="A216" t="s">
        <v>8221</v>
      </c>
      <c r="B216">
        <v>100</v>
      </c>
    </row>
    <row r="217" spans="1:2" x14ac:dyDescent="0.2">
      <c r="A217" t="s">
        <v>8221</v>
      </c>
      <c r="B217">
        <v>99</v>
      </c>
    </row>
    <row r="218" spans="1:2" x14ac:dyDescent="0.2">
      <c r="A218" t="s">
        <v>8221</v>
      </c>
      <c r="B218">
        <v>99</v>
      </c>
    </row>
    <row r="219" spans="1:2" x14ac:dyDescent="0.2">
      <c r="A219" t="s">
        <v>8221</v>
      </c>
      <c r="B219">
        <v>98</v>
      </c>
    </row>
    <row r="220" spans="1:2" x14ac:dyDescent="0.2">
      <c r="A220" t="s">
        <v>8221</v>
      </c>
      <c r="B220">
        <v>96</v>
      </c>
    </row>
    <row r="221" spans="1:2" x14ac:dyDescent="0.2">
      <c r="A221" t="s">
        <v>8221</v>
      </c>
      <c r="B221">
        <v>96</v>
      </c>
    </row>
    <row r="222" spans="1:2" x14ac:dyDescent="0.2">
      <c r="A222" t="s">
        <v>8221</v>
      </c>
      <c r="B222">
        <v>96</v>
      </c>
    </row>
    <row r="223" spans="1:2" x14ac:dyDescent="0.2">
      <c r="A223" t="s">
        <v>8221</v>
      </c>
      <c r="B223">
        <v>96</v>
      </c>
    </row>
    <row r="224" spans="1:2" x14ac:dyDescent="0.2">
      <c r="A224" t="s">
        <v>8221</v>
      </c>
      <c r="B224">
        <v>95</v>
      </c>
    </row>
    <row r="225" spans="1:2" x14ac:dyDescent="0.2">
      <c r="A225" t="s">
        <v>8221</v>
      </c>
      <c r="B225">
        <v>94</v>
      </c>
    </row>
    <row r="226" spans="1:2" x14ac:dyDescent="0.2">
      <c r="A226" t="s">
        <v>8221</v>
      </c>
      <c r="B226">
        <v>94</v>
      </c>
    </row>
    <row r="227" spans="1:2" x14ac:dyDescent="0.2">
      <c r="A227" t="s">
        <v>8221</v>
      </c>
      <c r="B227">
        <v>94</v>
      </c>
    </row>
    <row r="228" spans="1:2" x14ac:dyDescent="0.2">
      <c r="A228" t="s">
        <v>8221</v>
      </c>
      <c r="B228">
        <v>93</v>
      </c>
    </row>
    <row r="229" spans="1:2" x14ac:dyDescent="0.2">
      <c r="A229" t="s">
        <v>8221</v>
      </c>
      <c r="B229">
        <v>92</v>
      </c>
    </row>
    <row r="230" spans="1:2" x14ac:dyDescent="0.2">
      <c r="A230" t="s">
        <v>8221</v>
      </c>
      <c r="B230">
        <v>92</v>
      </c>
    </row>
    <row r="231" spans="1:2" x14ac:dyDescent="0.2">
      <c r="A231" t="s">
        <v>8221</v>
      </c>
      <c r="B231">
        <v>91</v>
      </c>
    </row>
    <row r="232" spans="1:2" x14ac:dyDescent="0.2">
      <c r="A232" t="s">
        <v>8221</v>
      </c>
      <c r="B232">
        <v>90</v>
      </c>
    </row>
    <row r="233" spans="1:2" x14ac:dyDescent="0.2">
      <c r="A233" t="s">
        <v>8221</v>
      </c>
      <c r="B233">
        <v>89</v>
      </c>
    </row>
    <row r="234" spans="1:2" x14ac:dyDescent="0.2">
      <c r="A234" t="s">
        <v>8221</v>
      </c>
      <c r="B234">
        <v>86</v>
      </c>
    </row>
    <row r="235" spans="1:2" x14ac:dyDescent="0.2">
      <c r="A235" t="s">
        <v>8221</v>
      </c>
      <c r="B235">
        <v>85</v>
      </c>
    </row>
    <row r="236" spans="1:2" x14ac:dyDescent="0.2">
      <c r="A236" t="s">
        <v>8221</v>
      </c>
      <c r="B236">
        <v>84</v>
      </c>
    </row>
    <row r="237" spans="1:2" x14ac:dyDescent="0.2">
      <c r="A237" t="s">
        <v>8221</v>
      </c>
      <c r="B237">
        <v>84</v>
      </c>
    </row>
    <row r="238" spans="1:2" x14ac:dyDescent="0.2">
      <c r="A238" t="s">
        <v>8221</v>
      </c>
      <c r="B238">
        <v>84</v>
      </c>
    </row>
    <row r="239" spans="1:2" x14ac:dyDescent="0.2">
      <c r="A239" t="s">
        <v>8221</v>
      </c>
      <c r="B239">
        <v>83</v>
      </c>
    </row>
    <row r="240" spans="1:2" x14ac:dyDescent="0.2">
      <c r="A240" t="s">
        <v>8221</v>
      </c>
      <c r="B240">
        <v>81</v>
      </c>
    </row>
    <row r="241" spans="1:2" x14ac:dyDescent="0.2">
      <c r="A241" t="s">
        <v>8221</v>
      </c>
      <c r="B241">
        <v>81</v>
      </c>
    </row>
    <row r="242" spans="1:2" hidden="1" x14ac:dyDescent="0.2">
      <c r="A242" t="s">
        <v>8219</v>
      </c>
      <c r="B242">
        <v>137</v>
      </c>
    </row>
    <row r="243" spans="1:2" hidden="1" x14ac:dyDescent="0.2">
      <c r="A243" t="s">
        <v>8219</v>
      </c>
      <c r="B243">
        <v>376</v>
      </c>
    </row>
    <row r="244" spans="1:2" hidden="1" x14ac:dyDescent="0.2">
      <c r="A244" t="s">
        <v>8219</v>
      </c>
      <c r="B244">
        <v>202</v>
      </c>
    </row>
    <row r="245" spans="1:2" hidden="1" x14ac:dyDescent="0.2">
      <c r="A245" t="s">
        <v>8219</v>
      </c>
      <c r="B245">
        <v>328</v>
      </c>
    </row>
    <row r="246" spans="1:2" hidden="1" x14ac:dyDescent="0.2">
      <c r="A246" t="s">
        <v>8219</v>
      </c>
      <c r="B246">
        <v>84</v>
      </c>
    </row>
    <row r="247" spans="1:2" hidden="1" x14ac:dyDescent="0.2">
      <c r="A247" t="s">
        <v>8219</v>
      </c>
      <c r="B247">
        <v>96</v>
      </c>
    </row>
    <row r="248" spans="1:2" hidden="1" x14ac:dyDescent="0.2">
      <c r="A248" t="s">
        <v>8219</v>
      </c>
      <c r="B248">
        <v>223</v>
      </c>
    </row>
    <row r="249" spans="1:2" hidden="1" x14ac:dyDescent="0.2">
      <c r="A249" t="s">
        <v>8219</v>
      </c>
      <c r="B249">
        <v>62</v>
      </c>
    </row>
    <row r="250" spans="1:2" hidden="1" x14ac:dyDescent="0.2">
      <c r="A250" t="s">
        <v>8219</v>
      </c>
      <c r="B250">
        <v>146</v>
      </c>
    </row>
    <row r="251" spans="1:2" hidden="1" x14ac:dyDescent="0.2">
      <c r="A251" t="s">
        <v>8219</v>
      </c>
      <c r="B251">
        <v>235</v>
      </c>
    </row>
    <row r="252" spans="1:2" hidden="1" x14ac:dyDescent="0.2">
      <c r="A252" t="s">
        <v>8219</v>
      </c>
      <c r="B252">
        <v>437</v>
      </c>
    </row>
    <row r="253" spans="1:2" hidden="1" x14ac:dyDescent="0.2">
      <c r="A253" t="s">
        <v>8219</v>
      </c>
      <c r="B253">
        <v>77</v>
      </c>
    </row>
    <row r="254" spans="1:2" hidden="1" x14ac:dyDescent="0.2">
      <c r="A254" t="s">
        <v>8219</v>
      </c>
      <c r="B254">
        <v>108</v>
      </c>
    </row>
    <row r="255" spans="1:2" hidden="1" x14ac:dyDescent="0.2">
      <c r="A255" t="s">
        <v>8219</v>
      </c>
      <c r="B255">
        <v>7</v>
      </c>
    </row>
    <row r="256" spans="1:2" hidden="1" x14ac:dyDescent="0.2">
      <c r="A256" t="s">
        <v>8219</v>
      </c>
      <c r="B256">
        <v>314</v>
      </c>
    </row>
    <row r="257" spans="1:2" hidden="1" x14ac:dyDescent="0.2">
      <c r="A257" t="s">
        <v>8219</v>
      </c>
      <c r="B257">
        <v>188</v>
      </c>
    </row>
    <row r="258" spans="1:2" hidden="1" x14ac:dyDescent="0.2">
      <c r="A258" t="s">
        <v>8219</v>
      </c>
      <c r="B258">
        <v>275</v>
      </c>
    </row>
    <row r="259" spans="1:2" hidden="1" x14ac:dyDescent="0.2">
      <c r="A259" t="s">
        <v>8219</v>
      </c>
      <c r="B259">
        <v>560</v>
      </c>
    </row>
    <row r="260" spans="1:2" hidden="1" x14ac:dyDescent="0.2">
      <c r="A260" t="s">
        <v>8219</v>
      </c>
      <c r="B260">
        <v>688</v>
      </c>
    </row>
    <row r="261" spans="1:2" hidden="1" x14ac:dyDescent="0.2">
      <c r="A261" t="s">
        <v>8219</v>
      </c>
      <c r="B261">
        <v>942</v>
      </c>
    </row>
    <row r="262" spans="1:2" hidden="1" x14ac:dyDescent="0.2">
      <c r="A262" t="s">
        <v>8219</v>
      </c>
      <c r="B262">
        <v>88</v>
      </c>
    </row>
    <row r="263" spans="1:2" hidden="1" x14ac:dyDescent="0.2">
      <c r="A263" t="s">
        <v>8219</v>
      </c>
      <c r="B263">
        <v>220</v>
      </c>
    </row>
    <row r="264" spans="1:2" hidden="1" x14ac:dyDescent="0.2">
      <c r="A264" t="s">
        <v>8219</v>
      </c>
      <c r="B264">
        <v>145</v>
      </c>
    </row>
    <row r="265" spans="1:2" hidden="1" x14ac:dyDescent="0.2">
      <c r="A265" t="s">
        <v>8219</v>
      </c>
      <c r="B265">
        <v>963</v>
      </c>
    </row>
    <row r="266" spans="1:2" hidden="1" x14ac:dyDescent="0.2">
      <c r="A266" t="s">
        <v>8219</v>
      </c>
      <c r="B266">
        <v>91</v>
      </c>
    </row>
    <row r="267" spans="1:2" hidden="1" x14ac:dyDescent="0.2">
      <c r="A267" t="s">
        <v>8219</v>
      </c>
      <c r="B267">
        <v>58</v>
      </c>
    </row>
    <row r="268" spans="1:2" hidden="1" x14ac:dyDescent="0.2">
      <c r="A268" t="s">
        <v>8219</v>
      </c>
      <c r="B268">
        <v>36</v>
      </c>
    </row>
    <row r="269" spans="1:2" hidden="1" x14ac:dyDescent="0.2">
      <c r="A269" t="s">
        <v>8219</v>
      </c>
      <c r="B269">
        <v>165</v>
      </c>
    </row>
    <row r="270" spans="1:2" hidden="1" x14ac:dyDescent="0.2">
      <c r="A270" t="s">
        <v>8219</v>
      </c>
      <c r="B270">
        <v>111</v>
      </c>
    </row>
    <row r="271" spans="1:2" hidden="1" x14ac:dyDescent="0.2">
      <c r="A271" t="s">
        <v>8219</v>
      </c>
      <c r="B271">
        <v>1596</v>
      </c>
    </row>
    <row r="272" spans="1:2" hidden="1" x14ac:dyDescent="0.2">
      <c r="A272" t="s">
        <v>8219</v>
      </c>
      <c r="B272">
        <v>61</v>
      </c>
    </row>
    <row r="273" spans="1:2" hidden="1" x14ac:dyDescent="0.2">
      <c r="A273" t="s">
        <v>8219</v>
      </c>
      <c r="B273">
        <v>287</v>
      </c>
    </row>
    <row r="274" spans="1:2" hidden="1" x14ac:dyDescent="0.2">
      <c r="A274" t="s">
        <v>8219</v>
      </c>
      <c r="B274">
        <v>65</v>
      </c>
    </row>
    <row r="275" spans="1:2" hidden="1" x14ac:dyDescent="0.2">
      <c r="A275" t="s">
        <v>8219</v>
      </c>
      <c r="B275">
        <v>118</v>
      </c>
    </row>
    <row r="276" spans="1:2" hidden="1" x14ac:dyDescent="0.2">
      <c r="A276" t="s">
        <v>8219</v>
      </c>
      <c r="B276">
        <v>113</v>
      </c>
    </row>
    <row r="277" spans="1:2" hidden="1" x14ac:dyDescent="0.2">
      <c r="A277" t="s">
        <v>8219</v>
      </c>
      <c r="B277">
        <v>332</v>
      </c>
    </row>
    <row r="278" spans="1:2" hidden="1" x14ac:dyDescent="0.2">
      <c r="A278" t="s">
        <v>8219</v>
      </c>
      <c r="B278">
        <v>62</v>
      </c>
    </row>
    <row r="279" spans="1:2" hidden="1" x14ac:dyDescent="0.2">
      <c r="A279" t="s">
        <v>8219</v>
      </c>
      <c r="B279">
        <v>951</v>
      </c>
    </row>
    <row r="280" spans="1:2" hidden="1" x14ac:dyDescent="0.2">
      <c r="A280" t="s">
        <v>8219</v>
      </c>
      <c r="B280">
        <v>415</v>
      </c>
    </row>
    <row r="281" spans="1:2" hidden="1" x14ac:dyDescent="0.2">
      <c r="A281" t="s">
        <v>8219</v>
      </c>
      <c r="B281">
        <v>305</v>
      </c>
    </row>
    <row r="282" spans="1:2" hidden="1" x14ac:dyDescent="0.2">
      <c r="A282" t="s">
        <v>8219</v>
      </c>
      <c r="B282">
        <v>2139</v>
      </c>
    </row>
    <row r="283" spans="1:2" hidden="1" x14ac:dyDescent="0.2">
      <c r="A283" t="s">
        <v>8219</v>
      </c>
      <c r="B283">
        <v>79</v>
      </c>
    </row>
    <row r="284" spans="1:2" hidden="1" x14ac:dyDescent="0.2">
      <c r="A284" t="s">
        <v>8219</v>
      </c>
      <c r="B284">
        <v>179</v>
      </c>
    </row>
    <row r="285" spans="1:2" hidden="1" x14ac:dyDescent="0.2">
      <c r="A285" t="s">
        <v>8219</v>
      </c>
      <c r="B285">
        <v>202</v>
      </c>
    </row>
    <row r="286" spans="1:2" hidden="1" x14ac:dyDescent="0.2">
      <c r="A286" t="s">
        <v>8219</v>
      </c>
      <c r="B286">
        <v>760</v>
      </c>
    </row>
    <row r="287" spans="1:2" hidden="1" x14ac:dyDescent="0.2">
      <c r="A287" t="s">
        <v>8219</v>
      </c>
      <c r="B287">
        <v>563</v>
      </c>
    </row>
    <row r="288" spans="1:2" hidden="1" x14ac:dyDescent="0.2">
      <c r="A288" t="s">
        <v>8219</v>
      </c>
      <c r="B288">
        <v>135</v>
      </c>
    </row>
    <row r="289" spans="1:2" hidden="1" x14ac:dyDescent="0.2">
      <c r="A289" t="s">
        <v>8219</v>
      </c>
      <c r="B289">
        <v>290</v>
      </c>
    </row>
    <row r="290" spans="1:2" hidden="1" x14ac:dyDescent="0.2">
      <c r="A290" t="s">
        <v>8219</v>
      </c>
      <c r="B290">
        <v>447</v>
      </c>
    </row>
    <row r="291" spans="1:2" hidden="1" x14ac:dyDescent="0.2">
      <c r="A291" t="s">
        <v>8219</v>
      </c>
      <c r="B291">
        <v>232</v>
      </c>
    </row>
    <row r="292" spans="1:2" hidden="1" x14ac:dyDescent="0.2">
      <c r="A292" t="s">
        <v>8219</v>
      </c>
      <c r="B292">
        <v>168</v>
      </c>
    </row>
    <row r="293" spans="1:2" hidden="1" x14ac:dyDescent="0.2">
      <c r="A293" t="s">
        <v>8219</v>
      </c>
      <c r="B293">
        <v>128</v>
      </c>
    </row>
    <row r="294" spans="1:2" hidden="1" x14ac:dyDescent="0.2">
      <c r="A294" t="s">
        <v>8219</v>
      </c>
      <c r="B294">
        <v>493</v>
      </c>
    </row>
    <row r="295" spans="1:2" hidden="1" x14ac:dyDescent="0.2">
      <c r="A295" t="s">
        <v>8219</v>
      </c>
      <c r="B295">
        <v>131</v>
      </c>
    </row>
    <row r="296" spans="1:2" hidden="1" x14ac:dyDescent="0.2">
      <c r="A296" t="s">
        <v>8219</v>
      </c>
      <c r="B296">
        <v>50</v>
      </c>
    </row>
    <row r="297" spans="1:2" hidden="1" x14ac:dyDescent="0.2">
      <c r="A297" t="s">
        <v>8219</v>
      </c>
      <c r="B297">
        <v>665</v>
      </c>
    </row>
    <row r="298" spans="1:2" hidden="1" x14ac:dyDescent="0.2">
      <c r="A298" t="s">
        <v>8219</v>
      </c>
      <c r="B298">
        <v>129</v>
      </c>
    </row>
    <row r="299" spans="1:2" hidden="1" x14ac:dyDescent="0.2">
      <c r="A299" t="s">
        <v>8219</v>
      </c>
      <c r="B299">
        <v>142</v>
      </c>
    </row>
    <row r="300" spans="1:2" hidden="1" x14ac:dyDescent="0.2">
      <c r="A300" t="s">
        <v>8219</v>
      </c>
      <c r="B300">
        <v>2436</v>
      </c>
    </row>
    <row r="301" spans="1:2" hidden="1" x14ac:dyDescent="0.2">
      <c r="A301" t="s">
        <v>8219</v>
      </c>
      <c r="B301">
        <v>244</v>
      </c>
    </row>
    <row r="302" spans="1:2" hidden="1" x14ac:dyDescent="0.2">
      <c r="A302" t="s">
        <v>8219</v>
      </c>
      <c r="B302">
        <v>298</v>
      </c>
    </row>
    <row r="303" spans="1:2" hidden="1" x14ac:dyDescent="0.2">
      <c r="A303" t="s">
        <v>8219</v>
      </c>
      <c r="B303">
        <v>251</v>
      </c>
    </row>
    <row r="304" spans="1:2" hidden="1" x14ac:dyDescent="0.2">
      <c r="A304" t="s">
        <v>8219</v>
      </c>
      <c r="B304">
        <v>108</v>
      </c>
    </row>
    <row r="305" spans="1:2" hidden="1" x14ac:dyDescent="0.2">
      <c r="A305" t="s">
        <v>8219</v>
      </c>
      <c r="B305">
        <v>82</v>
      </c>
    </row>
    <row r="306" spans="1:2" hidden="1" x14ac:dyDescent="0.2">
      <c r="A306" t="s">
        <v>8219</v>
      </c>
      <c r="B306">
        <v>74</v>
      </c>
    </row>
    <row r="307" spans="1:2" hidden="1" x14ac:dyDescent="0.2">
      <c r="A307" t="s">
        <v>8219</v>
      </c>
      <c r="B307">
        <v>189</v>
      </c>
    </row>
    <row r="308" spans="1:2" hidden="1" x14ac:dyDescent="0.2">
      <c r="A308" t="s">
        <v>8219</v>
      </c>
      <c r="B308">
        <v>80</v>
      </c>
    </row>
    <row r="309" spans="1:2" hidden="1" x14ac:dyDescent="0.2">
      <c r="A309" t="s">
        <v>8219</v>
      </c>
      <c r="B309">
        <v>576</v>
      </c>
    </row>
    <row r="310" spans="1:2" hidden="1" x14ac:dyDescent="0.2">
      <c r="A310" t="s">
        <v>8219</v>
      </c>
      <c r="B310">
        <v>202</v>
      </c>
    </row>
    <row r="311" spans="1:2" hidden="1" x14ac:dyDescent="0.2">
      <c r="A311" t="s">
        <v>8219</v>
      </c>
      <c r="B311">
        <v>238</v>
      </c>
    </row>
    <row r="312" spans="1:2" hidden="1" x14ac:dyDescent="0.2">
      <c r="A312" t="s">
        <v>8219</v>
      </c>
      <c r="B312">
        <v>36</v>
      </c>
    </row>
    <row r="313" spans="1:2" hidden="1" x14ac:dyDescent="0.2">
      <c r="A313" t="s">
        <v>8219</v>
      </c>
      <c r="B313">
        <v>150</v>
      </c>
    </row>
    <row r="314" spans="1:2" hidden="1" x14ac:dyDescent="0.2">
      <c r="A314" t="s">
        <v>8219</v>
      </c>
      <c r="B314">
        <v>146</v>
      </c>
    </row>
    <row r="315" spans="1:2" hidden="1" x14ac:dyDescent="0.2">
      <c r="A315" t="s">
        <v>8219</v>
      </c>
      <c r="B315">
        <v>222</v>
      </c>
    </row>
    <row r="316" spans="1:2" hidden="1" x14ac:dyDescent="0.2">
      <c r="A316" t="s">
        <v>8219</v>
      </c>
      <c r="B316">
        <v>120</v>
      </c>
    </row>
    <row r="317" spans="1:2" hidden="1" x14ac:dyDescent="0.2">
      <c r="A317" t="s">
        <v>8219</v>
      </c>
      <c r="B317">
        <v>126</v>
      </c>
    </row>
    <row r="318" spans="1:2" hidden="1" x14ac:dyDescent="0.2">
      <c r="A318" t="s">
        <v>8219</v>
      </c>
      <c r="B318">
        <v>158</v>
      </c>
    </row>
    <row r="319" spans="1:2" hidden="1" x14ac:dyDescent="0.2">
      <c r="A319" t="s">
        <v>8219</v>
      </c>
      <c r="B319">
        <v>316</v>
      </c>
    </row>
    <row r="320" spans="1:2" hidden="1" x14ac:dyDescent="0.2">
      <c r="A320" t="s">
        <v>8219</v>
      </c>
      <c r="B320">
        <v>284</v>
      </c>
    </row>
    <row r="321" spans="1:2" hidden="1" x14ac:dyDescent="0.2">
      <c r="A321" t="s">
        <v>8219</v>
      </c>
      <c r="B321">
        <v>51</v>
      </c>
    </row>
    <row r="322" spans="1:2" hidden="1" x14ac:dyDescent="0.2">
      <c r="A322" t="s">
        <v>8219</v>
      </c>
      <c r="B322">
        <v>158</v>
      </c>
    </row>
    <row r="323" spans="1:2" hidden="1" x14ac:dyDescent="0.2">
      <c r="A323" t="s">
        <v>8219</v>
      </c>
      <c r="B323">
        <v>337</v>
      </c>
    </row>
    <row r="324" spans="1:2" hidden="1" x14ac:dyDescent="0.2">
      <c r="A324" t="s">
        <v>8219</v>
      </c>
      <c r="B324">
        <v>186</v>
      </c>
    </row>
    <row r="325" spans="1:2" hidden="1" x14ac:dyDescent="0.2">
      <c r="A325" t="s">
        <v>8219</v>
      </c>
      <c r="B325">
        <v>58</v>
      </c>
    </row>
    <row r="326" spans="1:2" hidden="1" x14ac:dyDescent="0.2">
      <c r="A326" t="s">
        <v>8219</v>
      </c>
      <c r="B326">
        <v>82</v>
      </c>
    </row>
    <row r="327" spans="1:2" hidden="1" x14ac:dyDescent="0.2">
      <c r="A327" t="s">
        <v>8219</v>
      </c>
      <c r="B327">
        <v>736</v>
      </c>
    </row>
    <row r="328" spans="1:2" hidden="1" x14ac:dyDescent="0.2">
      <c r="A328" t="s">
        <v>8219</v>
      </c>
      <c r="B328">
        <v>1151</v>
      </c>
    </row>
    <row r="329" spans="1:2" hidden="1" x14ac:dyDescent="0.2">
      <c r="A329" t="s">
        <v>8219</v>
      </c>
      <c r="B329">
        <v>34</v>
      </c>
    </row>
    <row r="330" spans="1:2" hidden="1" x14ac:dyDescent="0.2">
      <c r="A330" t="s">
        <v>8219</v>
      </c>
      <c r="B330">
        <v>498</v>
      </c>
    </row>
    <row r="331" spans="1:2" hidden="1" x14ac:dyDescent="0.2">
      <c r="A331" t="s">
        <v>8219</v>
      </c>
      <c r="B331">
        <v>167</v>
      </c>
    </row>
    <row r="332" spans="1:2" hidden="1" x14ac:dyDescent="0.2">
      <c r="A332" t="s">
        <v>8219</v>
      </c>
      <c r="B332">
        <v>340</v>
      </c>
    </row>
    <row r="333" spans="1:2" hidden="1" x14ac:dyDescent="0.2">
      <c r="A333" t="s">
        <v>8219</v>
      </c>
      <c r="B333">
        <v>438</v>
      </c>
    </row>
    <row r="334" spans="1:2" hidden="1" x14ac:dyDescent="0.2">
      <c r="A334" t="s">
        <v>8219</v>
      </c>
      <c r="B334">
        <v>555</v>
      </c>
    </row>
    <row r="335" spans="1:2" hidden="1" x14ac:dyDescent="0.2">
      <c r="A335" t="s">
        <v>8219</v>
      </c>
      <c r="B335">
        <v>266</v>
      </c>
    </row>
    <row r="336" spans="1:2" hidden="1" x14ac:dyDescent="0.2">
      <c r="A336" t="s">
        <v>8219</v>
      </c>
      <c r="B336">
        <v>69</v>
      </c>
    </row>
    <row r="337" spans="1:2" hidden="1" x14ac:dyDescent="0.2">
      <c r="A337" t="s">
        <v>8219</v>
      </c>
      <c r="B337">
        <v>80</v>
      </c>
    </row>
    <row r="338" spans="1:2" hidden="1" x14ac:dyDescent="0.2">
      <c r="A338" t="s">
        <v>8219</v>
      </c>
      <c r="B338">
        <v>493</v>
      </c>
    </row>
    <row r="339" spans="1:2" hidden="1" x14ac:dyDescent="0.2">
      <c r="A339" t="s">
        <v>8219</v>
      </c>
      <c r="B339">
        <v>31</v>
      </c>
    </row>
    <row r="340" spans="1:2" hidden="1" x14ac:dyDescent="0.2">
      <c r="A340" t="s">
        <v>8219</v>
      </c>
      <c r="B340">
        <v>236</v>
      </c>
    </row>
    <row r="341" spans="1:2" hidden="1" x14ac:dyDescent="0.2">
      <c r="A341" t="s">
        <v>8219</v>
      </c>
      <c r="B341">
        <v>89</v>
      </c>
    </row>
    <row r="342" spans="1:2" hidden="1" x14ac:dyDescent="0.2">
      <c r="A342" t="s">
        <v>8219</v>
      </c>
      <c r="B342">
        <v>299</v>
      </c>
    </row>
    <row r="343" spans="1:2" hidden="1" x14ac:dyDescent="0.2">
      <c r="A343" t="s">
        <v>8219</v>
      </c>
      <c r="B343">
        <v>55</v>
      </c>
    </row>
    <row r="344" spans="1:2" hidden="1" x14ac:dyDescent="0.2">
      <c r="A344" t="s">
        <v>8219</v>
      </c>
      <c r="B344">
        <v>325</v>
      </c>
    </row>
    <row r="345" spans="1:2" hidden="1" x14ac:dyDescent="0.2">
      <c r="A345" t="s">
        <v>8219</v>
      </c>
      <c r="B345">
        <v>524</v>
      </c>
    </row>
    <row r="346" spans="1:2" hidden="1" x14ac:dyDescent="0.2">
      <c r="A346" t="s">
        <v>8219</v>
      </c>
      <c r="B346">
        <v>285</v>
      </c>
    </row>
    <row r="347" spans="1:2" hidden="1" x14ac:dyDescent="0.2">
      <c r="A347" t="s">
        <v>8219</v>
      </c>
      <c r="B347">
        <v>179</v>
      </c>
    </row>
    <row r="348" spans="1:2" hidden="1" x14ac:dyDescent="0.2">
      <c r="A348" t="s">
        <v>8219</v>
      </c>
      <c r="B348">
        <v>188</v>
      </c>
    </row>
    <row r="349" spans="1:2" hidden="1" x14ac:dyDescent="0.2">
      <c r="A349" t="s">
        <v>8219</v>
      </c>
      <c r="B349">
        <v>379</v>
      </c>
    </row>
    <row r="350" spans="1:2" hidden="1" x14ac:dyDescent="0.2">
      <c r="A350" t="s">
        <v>8219</v>
      </c>
      <c r="B350">
        <v>119</v>
      </c>
    </row>
    <row r="351" spans="1:2" hidden="1" x14ac:dyDescent="0.2">
      <c r="A351" t="s">
        <v>8219</v>
      </c>
      <c r="B351">
        <v>167</v>
      </c>
    </row>
    <row r="352" spans="1:2" hidden="1" x14ac:dyDescent="0.2">
      <c r="A352" t="s">
        <v>8219</v>
      </c>
      <c r="B352">
        <v>221</v>
      </c>
    </row>
    <row r="353" spans="1:2" hidden="1" x14ac:dyDescent="0.2">
      <c r="A353" t="s">
        <v>8219</v>
      </c>
      <c r="B353">
        <v>964</v>
      </c>
    </row>
    <row r="354" spans="1:2" hidden="1" x14ac:dyDescent="0.2">
      <c r="A354" t="s">
        <v>8219</v>
      </c>
      <c r="B354">
        <v>286</v>
      </c>
    </row>
    <row r="355" spans="1:2" hidden="1" x14ac:dyDescent="0.2">
      <c r="A355" t="s">
        <v>8219</v>
      </c>
      <c r="B355">
        <v>613</v>
      </c>
    </row>
    <row r="356" spans="1:2" hidden="1" x14ac:dyDescent="0.2">
      <c r="A356" t="s">
        <v>8219</v>
      </c>
      <c r="B356">
        <v>29</v>
      </c>
    </row>
    <row r="357" spans="1:2" hidden="1" x14ac:dyDescent="0.2">
      <c r="A357" t="s">
        <v>8219</v>
      </c>
      <c r="B357">
        <v>165</v>
      </c>
    </row>
    <row r="358" spans="1:2" hidden="1" x14ac:dyDescent="0.2">
      <c r="A358" t="s">
        <v>8219</v>
      </c>
      <c r="B358">
        <v>97</v>
      </c>
    </row>
    <row r="359" spans="1:2" hidden="1" x14ac:dyDescent="0.2">
      <c r="A359" t="s">
        <v>8219</v>
      </c>
      <c r="B359">
        <v>303</v>
      </c>
    </row>
    <row r="360" spans="1:2" hidden="1" x14ac:dyDescent="0.2">
      <c r="A360" t="s">
        <v>8219</v>
      </c>
      <c r="B360">
        <v>267</v>
      </c>
    </row>
    <row r="361" spans="1:2" hidden="1" x14ac:dyDescent="0.2">
      <c r="A361" t="s">
        <v>8219</v>
      </c>
      <c r="B361">
        <v>302</v>
      </c>
    </row>
    <row r="362" spans="1:2" hidden="1" x14ac:dyDescent="0.2">
      <c r="A362" t="s">
        <v>8219</v>
      </c>
      <c r="B362">
        <v>87</v>
      </c>
    </row>
    <row r="363" spans="1:2" hidden="1" x14ac:dyDescent="0.2">
      <c r="A363" t="s">
        <v>8219</v>
      </c>
      <c r="B363">
        <v>354</v>
      </c>
    </row>
    <row r="364" spans="1:2" hidden="1" x14ac:dyDescent="0.2">
      <c r="A364" t="s">
        <v>8219</v>
      </c>
      <c r="B364">
        <v>86</v>
      </c>
    </row>
    <row r="365" spans="1:2" hidden="1" x14ac:dyDescent="0.2">
      <c r="A365" t="s">
        <v>8219</v>
      </c>
      <c r="B365">
        <v>26</v>
      </c>
    </row>
    <row r="366" spans="1:2" hidden="1" x14ac:dyDescent="0.2">
      <c r="A366" t="s">
        <v>8219</v>
      </c>
      <c r="B366">
        <v>113</v>
      </c>
    </row>
    <row r="367" spans="1:2" hidden="1" x14ac:dyDescent="0.2">
      <c r="A367" t="s">
        <v>8219</v>
      </c>
      <c r="B367">
        <v>65</v>
      </c>
    </row>
    <row r="368" spans="1:2" hidden="1" x14ac:dyDescent="0.2">
      <c r="A368" t="s">
        <v>8219</v>
      </c>
      <c r="B368">
        <v>134</v>
      </c>
    </row>
    <row r="369" spans="1:2" hidden="1" x14ac:dyDescent="0.2">
      <c r="A369" t="s">
        <v>8219</v>
      </c>
      <c r="B369">
        <v>119</v>
      </c>
    </row>
    <row r="370" spans="1:2" hidden="1" x14ac:dyDescent="0.2">
      <c r="A370" t="s">
        <v>8219</v>
      </c>
      <c r="B370">
        <v>159</v>
      </c>
    </row>
    <row r="371" spans="1:2" hidden="1" x14ac:dyDescent="0.2">
      <c r="A371" t="s">
        <v>8219</v>
      </c>
      <c r="B371">
        <v>167</v>
      </c>
    </row>
    <row r="372" spans="1:2" hidden="1" x14ac:dyDescent="0.2">
      <c r="A372" t="s">
        <v>8219</v>
      </c>
      <c r="B372">
        <v>43</v>
      </c>
    </row>
    <row r="373" spans="1:2" hidden="1" x14ac:dyDescent="0.2">
      <c r="A373" t="s">
        <v>8219</v>
      </c>
      <c r="B373">
        <v>1062</v>
      </c>
    </row>
    <row r="374" spans="1:2" hidden="1" x14ac:dyDescent="0.2">
      <c r="A374" t="s">
        <v>8219</v>
      </c>
      <c r="B374">
        <v>9</v>
      </c>
    </row>
    <row r="375" spans="1:2" hidden="1" x14ac:dyDescent="0.2">
      <c r="A375" t="s">
        <v>8219</v>
      </c>
      <c r="B375">
        <v>89</v>
      </c>
    </row>
    <row r="376" spans="1:2" hidden="1" x14ac:dyDescent="0.2">
      <c r="A376" t="s">
        <v>8219</v>
      </c>
      <c r="B376">
        <v>174</v>
      </c>
    </row>
    <row r="377" spans="1:2" hidden="1" x14ac:dyDescent="0.2">
      <c r="A377" t="s">
        <v>8219</v>
      </c>
      <c r="B377">
        <v>14</v>
      </c>
    </row>
    <row r="378" spans="1:2" hidden="1" x14ac:dyDescent="0.2">
      <c r="A378" t="s">
        <v>8219</v>
      </c>
      <c r="B378">
        <v>48</v>
      </c>
    </row>
    <row r="379" spans="1:2" hidden="1" x14ac:dyDescent="0.2">
      <c r="A379" t="s">
        <v>8219</v>
      </c>
      <c r="B379">
        <v>133</v>
      </c>
    </row>
    <row r="380" spans="1:2" hidden="1" x14ac:dyDescent="0.2">
      <c r="A380" t="s">
        <v>8219</v>
      </c>
      <c r="B380">
        <v>83</v>
      </c>
    </row>
    <row r="381" spans="1:2" hidden="1" x14ac:dyDescent="0.2">
      <c r="A381" t="s">
        <v>8219</v>
      </c>
      <c r="B381">
        <v>149</v>
      </c>
    </row>
    <row r="382" spans="1:2" hidden="1" x14ac:dyDescent="0.2">
      <c r="A382" t="s">
        <v>8219</v>
      </c>
      <c r="B382">
        <v>49</v>
      </c>
    </row>
    <row r="383" spans="1:2" hidden="1" x14ac:dyDescent="0.2">
      <c r="A383" t="s">
        <v>8219</v>
      </c>
      <c r="B383">
        <v>251</v>
      </c>
    </row>
    <row r="384" spans="1:2" hidden="1" x14ac:dyDescent="0.2">
      <c r="A384" t="s">
        <v>8219</v>
      </c>
      <c r="B384">
        <v>22</v>
      </c>
    </row>
    <row r="385" spans="1:2" hidden="1" x14ac:dyDescent="0.2">
      <c r="A385" t="s">
        <v>8219</v>
      </c>
      <c r="B385">
        <v>48</v>
      </c>
    </row>
    <row r="386" spans="1:2" hidden="1" x14ac:dyDescent="0.2">
      <c r="A386" t="s">
        <v>8219</v>
      </c>
      <c r="B386">
        <v>383</v>
      </c>
    </row>
    <row r="387" spans="1:2" hidden="1" x14ac:dyDescent="0.2">
      <c r="A387" t="s">
        <v>8219</v>
      </c>
      <c r="B387">
        <v>237</v>
      </c>
    </row>
    <row r="388" spans="1:2" hidden="1" x14ac:dyDescent="0.2">
      <c r="A388" t="s">
        <v>8219</v>
      </c>
      <c r="B388">
        <v>13</v>
      </c>
    </row>
    <row r="389" spans="1:2" hidden="1" x14ac:dyDescent="0.2">
      <c r="A389" t="s">
        <v>8219</v>
      </c>
      <c r="B389">
        <v>562</v>
      </c>
    </row>
    <row r="390" spans="1:2" hidden="1" x14ac:dyDescent="0.2">
      <c r="A390" t="s">
        <v>8219</v>
      </c>
      <c r="B390">
        <v>71</v>
      </c>
    </row>
    <row r="391" spans="1:2" hidden="1" x14ac:dyDescent="0.2">
      <c r="A391" t="s">
        <v>8219</v>
      </c>
      <c r="B391">
        <v>1510</v>
      </c>
    </row>
    <row r="392" spans="1:2" hidden="1" x14ac:dyDescent="0.2">
      <c r="A392" t="s">
        <v>8219</v>
      </c>
      <c r="B392">
        <v>14</v>
      </c>
    </row>
    <row r="393" spans="1:2" hidden="1" x14ac:dyDescent="0.2">
      <c r="A393" t="s">
        <v>8219</v>
      </c>
      <c r="B393">
        <v>193</v>
      </c>
    </row>
    <row r="394" spans="1:2" hidden="1" x14ac:dyDescent="0.2">
      <c r="A394" t="s">
        <v>8219</v>
      </c>
      <c r="B394">
        <v>206</v>
      </c>
    </row>
    <row r="395" spans="1:2" hidden="1" x14ac:dyDescent="0.2">
      <c r="A395" t="s">
        <v>8219</v>
      </c>
      <c r="B395">
        <v>351</v>
      </c>
    </row>
    <row r="396" spans="1:2" hidden="1" x14ac:dyDescent="0.2">
      <c r="A396" t="s">
        <v>8219</v>
      </c>
      <c r="B396">
        <v>50</v>
      </c>
    </row>
    <row r="397" spans="1:2" hidden="1" x14ac:dyDescent="0.2">
      <c r="A397" t="s">
        <v>8219</v>
      </c>
      <c r="B397">
        <v>184</v>
      </c>
    </row>
    <row r="398" spans="1:2" hidden="1" x14ac:dyDescent="0.2">
      <c r="A398" t="s">
        <v>8219</v>
      </c>
      <c r="B398">
        <v>196</v>
      </c>
    </row>
    <row r="399" spans="1:2" hidden="1" x14ac:dyDescent="0.2">
      <c r="A399" t="s">
        <v>8219</v>
      </c>
      <c r="B399">
        <v>229</v>
      </c>
    </row>
    <row r="400" spans="1:2" hidden="1" x14ac:dyDescent="0.2">
      <c r="A400" t="s">
        <v>8219</v>
      </c>
      <c r="B400">
        <v>67</v>
      </c>
    </row>
    <row r="401" spans="1:2" hidden="1" x14ac:dyDescent="0.2">
      <c r="A401" t="s">
        <v>8219</v>
      </c>
      <c r="B401">
        <v>95</v>
      </c>
    </row>
    <row r="402" spans="1:2" hidden="1" x14ac:dyDescent="0.2">
      <c r="A402" t="s">
        <v>8219</v>
      </c>
      <c r="B402">
        <v>62</v>
      </c>
    </row>
    <row r="403" spans="1:2" hidden="1" x14ac:dyDescent="0.2">
      <c r="A403" t="s">
        <v>8219</v>
      </c>
      <c r="B403">
        <v>73</v>
      </c>
    </row>
    <row r="404" spans="1:2" hidden="1" x14ac:dyDescent="0.2">
      <c r="A404" t="s">
        <v>8219</v>
      </c>
      <c r="B404">
        <v>43</v>
      </c>
    </row>
    <row r="405" spans="1:2" hidden="1" x14ac:dyDescent="0.2">
      <c r="A405" t="s">
        <v>8219</v>
      </c>
      <c r="B405">
        <v>70</v>
      </c>
    </row>
    <row r="406" spans="1:2" hidden="1" x14ac:dyDescent="0.2">
      <c r="A406" t="s">
        <v>8219</v>
      </c>
      <c r="B406">
        <v>271</v>
      </c>
    </row>
    <row r="407" spans="1:2" hidden="1" x14ac:dyDescent="0.2">
      <c r="A407" t="s">
        <v>8219</v>
      </c>
      <c r="B407">
        <v>55</v>
      </c>
    </row>
    <row r="408" spans="1:2" hidden="1" x14ac:dyDescent="0.2">
      <c r="A408" t="s">
        <v>8219</v>
      </c>
      <c r="B408">
        <v>35</v>
      </c>
    </row>
    <row r="409" spans="1:2" hidden="1" x14ac:dyDescent="0.2">
      <c r="A409" t="s">
        <v>8219</v>
      </c>
      <c r="B409">
        <v>22</v>
      </c>
    </row>
    <row r="410" spans="1:2" hidden="1" x14ac:dyDescent="0.2">
      <c r="A410" t="s">
        <v>8219</v>
      </c>
      <c r="B410">
        <v>38</v>
      </c>
    </row>
    <row r="411" spans="1:2" hidden="1" x14ac:dyDescent="0.2">
      <c r="A411" t="s">
        <v>8219</v>
      </c>
      <c r="B411">
        <v>15</v>
      </c>
    </row>
    <row r="412" spans="1:2" hidden="1" x14ac:dyDescent="0.2">
      <c r="A412" t="s">
        <v>8219</v>
      </c>
      <c r="B412">
        <v>7</v>
      </c>
    </row>
    <row r="413" spans="1:2" hidden="1" x14ac:dyDescent="0.2">
      <c r="A413" t="s">
        <v>8219</v>
      </c>
      <c r="B413">
        <v>241</v>
      </c>
    </row>
    <row r="414" spans="1:2" hidden="1" x14ac:dyDescent="0.2">
      <c r="A414" t="s">
        <v>8219</v>
      </c>
      <c r="B414">
        <v>55</v>
      </c>
    </row>
    <row r="415" spans="1:2" hidden="1" x14ac:dyDescent="0.2">
      <c r="A415" t="s">
        <v>8219</v>
      </c>
      <c r="B415">
        <v>171</v>
      </c>
    </row>
    <row r="416" spans="1:2" hidden="1" x14ac:dyDescent="0.2">
      <c r="A416" t="s">
        <v>8219</v>
      </c>
      <c r="B416">
        <v>208</v>
      </c>
    </row>
    <row r="417" spans="1:2" hidden="1" x14ac:dyDescent="0.2">
      <c r="A417" t="s">
        <v>8219</v>
      </c>
      <c r="B417">
        <v>21</v>
      </c>
    </row>
    <row r="418" spans="1:2" hidden="1" x14ac:dyDescent="0.2">
      <c r="A418" t="s">
        <v>8219</v>
      </c>
      <c r="B418">
        <v>25</v>
      </c>
    </row>
    <row r="419" spans="1:2" hidden="1" x14ac:dyDescent="0.2">
      <c r="A419" t="s">
        <v>8219</v>
      </c>
      <c r="B419">
        <v>52</v>
      </c>
    </row>
    <row r="420" spans="1:2" hidden="1" x14ac:dyDescent="0.2">
      <c r="A420" t="s">
        <v>8219</v>
      </c>
      <c r="B420">
        <v>104</v>
      </c>
    </row>
    <row r="421" spans="1:2" hidden="1" x14ac:dyDescent="0.2">
      <c r="A421" t="s">
        <v>8219</v>
      </c>
      <c r="B421">
        <v>73</v>
      </c>
    </row>
    <row r="422" spans="1:2" x14ac:dyDescent="0.2">
      <c r="A422" t="s">
        <v>8221</v>
      </c>
      <c r="B422">
        <v>79</v>
      </c>
    </row>
    <row r="423" spans="1:2" x14ac:dyDescent="0.2">
      <c r="A423" t="s">
        <v>8221</v>
      </c>
      <c r="B423">
        <v>76</v>
      </c>
    </row>
    <row r="424" spans="1:2" x14ac:dyDescent="0.2">
      <c r="A424" t="s">
        <v>8221</v>
      </c>
      <c r="B424">
        <v>76</v>
      </c>
    </row>
    <row r="425" spans="1:2" x14ac:dyDescent="0.2">
      <c r="A425" t="s">
        <v>8221</v>
      </c>
      <c r="B425">
        <v>76</v>
      </c>
    </row>
    <row r="426" spans="1:2" x14ac:dyDescent="0.2">
      <c r="A426" t="s">
        <v>8221</v>
      </c>
      <c r="B426">
        <v>75</v>
      </c>
    </row>
    <row r="427" spans="1:2" x14ac:dyDescent="0.2">
      <c r="A427" t="s">
        <v>8221</v>
      </c>
      <c r="B427">
        <v>73</v>
      </c>
    </row>
    <row r="428" spans="1:2" x14ac:dyDescent="0.2">
      <c r="A428" t="s">
        <v>8221</v>
      </c>
      <c r="B428">
        <v>72</v>
      </c>
    </row>
    <row r="429" spans="1:2" x14ac:dyDescent="0.2">
      <c r="A429" t="s">
        <v>8221</v>
      </c>
      <c r="B429">
        <v>72</v>
      </c>
    </row>
    <row r="430" spans="1:2" x14ac:dyDescent="0.2">
      <c r="A430" t="s">
        <v>8221</v>
      </c>
      <c r="B430">
        <v>70</v>
      </c>
    </row>
    <row r="431" spans="1:2" x14ac:dyDescent="0.2">
      <c r="A431" t="s">
        <v>8221</v>
      </c>
      <c r="B431">
        <v>70</v>
      </c>
    </row>
    <row r="432" spans="1:2" x14ac:dyDescent="0.2">
      <c r="A432" t="s">
        <v>8221</v>
      </c>
      <c r="B432">
        <v>68</v>
      </c>
    </row>
    <row r="433" spans="1:2" x14ac:dyDescent="0.2">
      <c r="A433" t="s">
        <v>8221</v>
      </c>
      <c r="B433">
        <v>67</v>
      </c>
    </row>
    <row r="434" spans="1:2" x14ac:dyDescent="0.2">
      <c r="A434" t="s">
        <v>8221</v>
      </c>
      <c r="B434">
        <v>66</v>
      </c>
    </row>
    <row r="435" spans="1:2" x14ac:dyDescent="0.2">
      <c r="A435" t="s">
        <v>8221</v>
      </c>
      <c r="B435">
        <v>60</v>
      </c>
    </row>
    <row r="436" spans="1:2" x14ac:dyDescent="0.2">
      <c r="A436" t="s">
        <v>8221</v>
      </c>
      <c r="B436">
        <v>60</v>
      </c>
    </row>
    <row r="437" spans="1:2" x14ac:dyDescent="0.2">
      <c r="A437" t="s">
        <v>8221</v>
      </c>
      <c r="B437">
        <v>59</v>
      </c>
    </row>
    <row r="438" spans="1:2" x14ac:dyDescent="0.2">
      <c r="A438" t="s">
        <v>8221</v>
      </c>
      <c r="B438">
        <v>57</v>
      </c>
    </row>
    <row r="439" spans="1:2" x14ac:dyDescent="0.2">
      <c r="A439" t="s">
        <v>8221</v>
      </c>
      <c r="B439">
        <v>57</v>
      </c>
    </row>
    <row r="440" spans="1:2" x14ac:dyDescent="0.2">
      <c r="A440" t="s">
        <v>8221</v>
      </c>
      <c r="B440">
        <v>56</v>
      </c>
    </row>
    <row r="441" spans="1:2" x14ac:dyDescent="0.2">
      <c r="A441" t="s">
        <v>8221</v>
      </c>
      <c r="B441">
        <v>55</v>
      </c>
    </row>
    <row r="442" spans="1:2" x14ac:dyDescent="0.2">
      <c r="A442" t="s">
        <v>8221</v>
      </c>
      <c r="B442">
        <v>55</v>
      </c>
    </row>
    <row r="443" spans="1:2" x14ac:dyDescent="0.2">
      <c r="A443" t="s">
        <v>8221</v>
      </c>
      <c r="B443">
        <v>53</v>
      </c>
    </row>
    <row r="444" spans="1:2" x14ac:dyDescent="0.2">
      <c r="A444" t="s">
        <v>8221</v>
      </c>
      <c r="B444">
        <v>53</v>
      </c>
    </row>
    <row r="445" spans="1:2" x14ac:dyDescent="0.2">
      <c r="A445" t="s">
        <v>8221</v>
      </c>
      <c r="B445">
        <v>52</v>
      </c>
    </row>
    <row r="446" spans="1:2" x14ac:dyDescent="0.2">
      <c r="A446" t="s">
        <v>8221</v>
      </c>
      <c r="B446">
        <v>52</v>
      </c>
    </row>
    <row r="447" spans="1:2" x14ac:dyDescent="0.2">
      <c r="A447" t="s">
        <v>8221</v>
      </c>
      <c r="B447">
        <v>52</v>
      </c>
    </row>
    <row r="448" spans="1:2" x14ac:dyDescent="0.2">
      <c r="A448" t="s">
        <v>8221</v>
      </c>
      <c r="B448">
        <v>50</v>
      </c>
    </row>
    <row r="449" spans="1:2" x14ac:dyDescent="0.2">
      <c r="A449" t="s">
        <v>8221</v>
      </c>
      <c r="B449">
        <v>50</v>
      </c>
    </row>
    <row r="450" spans="1:2" x14ac:dyDescent="0.2">
      <c r="A450" t="s">
        <v>8221</v>
      </c>
      <c r="B450">
        <v>49</v>
      </c>
    </row>
    <row r="451" spans="1:2" x14ac:dyDescent="0.2">
      <c r="A451" t="s">
        <v>8221</v>
      </c>
      <c r="B451">
        <v>49</v>
      </c>
    </row>
    <row r="452" spans="1:2" x14ac:dyDescent="0.2">
      <c r="A452" t="s">
        <v>8221</v>
      </c>
      <c r="B452">
        <v>49</v>
      </c>
    </row>
    <row r="453" spans="1:2" x14ac:dyDescent="0.2">
      <c r="A453" t="s">
        <v>8221</v>
      </c>
      <c r="B453">
        <v>48</v>
      </c>
    </row>
    <row r="454" spans="1:2" x14ac:dyDescent="0.2">
      <c r="A454" t="s">
        <v>8221</v>
      </c>
      <c r="B454">
        <v>48</v>
      </c>
    </row>
    <row r="455" spans="1:2" x14ac:dyDescent="0.2">
      <c r="A455" t="s">
        <v>8221</v>
      </c>
      <c r="B455">
        <v>47</v>
      </c>
    </row>
    <row r="456" spans="1:2" x14ac:dyDescent="0.2">
      <c r="A456" t="s">
        <v>8221</v>
      </c>
      <c r="B456">
        <v>47</v>
      </c>
    </row>
    <row r="457" spans="1:2" x14ac:dyDescent="0.2">
      <c r="A457" t="s">
        <v>8221</v>
      </c>
      <c r="B457">
        <v>46</v>
      </c>
    </row>
    <row r="458" spans="1:2" x14ac:dyDescent="0.2">
      <c r="A458" t="s">
        <v>8221</v>
      </c>
      <c r="B458">
        <v>45</v>
      </c>
    </row>
    <row r="459" spans="1:2" x14ac:dyDescent="0.2">
      <c r="A459" t="s">
        <v>8221</v>
      </c>
      <c r="B459">
        <v>45</v>
      </c>
    </row>
    <row r="460" spans="1:2" x14ac:dyDescent="0.2">
      <c r="A460" t="s">
        <v>8221</v>
      </c>
      <c r="B460">
        <v>45</v>
      </c>
    </row>
    <row r="461" spans="1:2" x14ac:dyDescent="0.2">
      <c r="A461" t="s">
        <v>8221</v>
      </c>
      <c r="B461">
        <v>44</v>
      </c>
    </row>
    <row r="462" spans="1:2" x14ac:dyDescent="0.2">
      <c r="A462" t="s">
        <v>8221</v>
      </c>
      <c r="B462">
        <v>43</v>
      </c>
    </row>
    <row r="463" spans="1:2" x14ac:dyDescent="0.2">
      <c r="A463" t="s">
        <v>8221</v>
      </c>
      <c r="B463">
        <v>42</v>
      </c>
    </row>
    <row r="464" spans="1:2" x14ac:dyDescent="0.2">
      <c r="A464" t="s">
        <v>8221</v>
      </c>
      <c r="B464">
        <v>42</v>
      </c>
    </row>
    <row r="465" spans="1:2" x14ac:dyDescent="0.2">
      <c r="A465" t="s">
        <v>8221</v>
      </c>
      <c r="B465">
        <v>41</v>
      </c>
    </row>
    <row r="466" spans="1:2" x14ac:dyDescent="0.2">
      <c r="A466" t="s">
        <v>8221</v>
      </c>
      <c r="B466">
        <v>41</v>
      </c>
    </row>
    <row r="467" spans="1:2" x14ac:dyDescent="0.2">
      <c r="A467" t="s">
        <v>8221</v>
      </c>
      <c r="B467">
        <v>41</v>
      </c>
    </row>
    <row r="468" spans="1:2" x14ac:dyDescent="0.2">
      <c r="A468" t="s">
        <v>8221</v>
      </c>
      <c r="B468">
        <v>40</v>
      </c>
    </row>
    <row r="469" spans="1:2" x14ac:dyDescent="0.2">
      <c r="A469" t="s">
        <v>8221</v>
      </c>
      <c r="B469">
        <v>40</v>
      </c>
    </row>
    <row r="470" spans="1:2" x14ac:dyDescent="0.2">
      <c r="A470" t="s">
        <v>8221</v>
      </c>
      <c r="B470">
        <v>40</v>
      </c>
    </row>
    <row r="471" spans="1:2" x14ac:dyDescent="0.2">
      <c r="A471" t="s">
        <v>8221</v>
      </c>
      <c r="B471">
        <v>39</v>
      </c>
    </row>
    <row r="472" spans="1:2" x14ac:dyDescent="0.2">
      <c r="A472" t="s">
        <v>8221</v>
      </c>
      <c r="B472">
        <v>39</v>
      </c>
    </row>
    <row r="473" spans="1:2" x14ac:dyDescent="0.2">
      <c r="A473" t="s">
        <v>8221</v>
      </c>
      <c r="B473">
        <v>39</v>
      </c>
    </row>
    <row r="474" spans="1:2" x14ac:dyDescent="0.2">
      <c r="A474" t="s">
        <v>8221</v>
      </c>
      <c r="B474">
        <v>39</v>
      </c>
    </row>
    <row r="475" spans="1:2" x14ac:dyDescent="0.2">
      <c r="A475" t="s">
        <v>8221</v>
      </c>
      <c r="B475">
        <v>39</v>
      </c>
    </row>
    <row r="476" spans="1:2" x14ac:dyDescent="0.2">
      <c r="A476" t="s">
        <v>8221</v>
      </c>
      <c r="B476">
        <v>39</v>
      </c>
    </row>
    <row r="477" spans="1:2" x14ac:dyDescent="0.2">
      <c r="A477" t="s">
        <v>8221</v>
      </c>
      <c r="B477">
        <v>38</v>
      </c>
    </row>
    <row r="478" spans="1:2" x14ac:dyDescent="0.2">
      <c r="A478" t="s">
        <v>8221</v>
      </c>
      <c r="B478">
        <v>38</v>
      </c>
    </row>
    <row r="479" spans="1:2" x14ac:dyDescent="0.2">
      <c r="A479" t="s">
        <v>8221</v>
      </c>
      <c r="B479">
        <v>38</v>
      </c>
    </row>
    <row r="480" spans="1:2" x14ac:dyDescent="0.2">
      <c r="A480" t="s">
        <v>8221</v>
      </c>
      <c r="B480">
        <v>38</v>
      </c>
    </row>
    <row r="481" spans="1:2" x14ac:dyDescent="0.2">
      <c r="A481" t="s">
        <v>8221</v>
      </c>
      <c r="B481">
        <v>38</v>
      </c>
    </row>
    <row r="482" spans="1:2" x14ac:dyDescent="0.2">
      <c r="A482" t="s">
        <v>8221</v>
      </c>
      <c r="B482">
        <v>37</v>
      </c>
    </row>
    <row r="483" spans="1:2" x14ac:dyDescent="0.2">
      <c r="A483" t="s">
        <v>8221</v>
      </c>
      <c r="B483">
        <v>37</v>
      </c>
    </row>
    <row r="484" spans="1:2" x14ac:dyDescent="0.2">
      <c r="A484" t="s">
        <v>8221</v>
      </c>
      <c r="B484">
        <v>37</v>
      </c>
    </row>
    <row r="485" spans="1:2" x14ac:dyDescent="0.2">
      <c r="A485" t="s">
        <v>8221</v>
      </c>
      <c r="B485">
        <v>37</v>
      </c>
    </row>
    <row r="486" spans="1:2" x14ac:dyDescent="0.2">
      <c r="A486" t="s">
        <v>8221</v>
      </c>
      <c r="B486">
        <v>37</v>
      </c>
    </row>
    <row r="487" spans="1:2" x14ac:dyDescent="0.2">
      <c r="A487" t="s">
        <v>8221</v>
      </c>
      <c r="B487">
        <v>37</v>
      </c>
    </row>
    <row r="488" spans="1:2" x14ac:dyDescent="0.2">
      <c r="A488" t="s">
        <v>8221</v>
      </c>
      <c r="B488">
        <v>37</v>
      </c>
    </row>
    <row r="489" spans="1:2" x14ac:dyDescent="0.2">
      <c r="A489" t="s">
        <v>8221</v>
      </c>
      <c r="B489">
        <v>37</v>
      </c>
    </row>
    <row r="490" spans="1:2" x14ac:dyDescent="0.2">
      <c r="A490" t="s">
        <v>8221</v>
      </c>
      <c r="B490">
        <v>36</v>
      </c>
    </row>
    <row r="491" spans="1:2" x14ac:dyDescent="0.2">
      <c r="A491" t="s">
        <v>8221</v>
      </c>
      <c r="B491">
        <v>36</v>
      </c>
    </row>
    <row r="492" spans="1:2" x14ac:dyDescent="0.2">
      <c r="A492" t="s">
        <v>8221</v>
      </c>
      <c r="B492">
        <v>36</v>
      </c>
    </row>
    <row r="493" spans="1:2" x14ac:dyDescent="0.2">
      <c r="A493" t="s">
        <v>8221</v>
      </c>
      <c r="B493">
        <v>36</v>
      </c>
    </row>
    <row r="494" spans="1:2" x14ac:dyDescent="0.2">
      <c r="A494" t="s">
        <v>8221</v>
      </c>
      <c r="B494">
        <v>36</v>
      </c>
    </row>
    <row r="495" spans="1:2" x14ac:dyDescent="0.2">
      <c r="A495" t="s">
        <v>8221</v>
      </c>
      <c r="B495">
        <v>35</v>
      </c>
    </row>
    <row r="496" spans="1:2" x14ac:dyDescent="0.2">
      <c r="A496" t="s">
        <v>8221</v>
      </c>
      <c r="B496">
        <v>34</v>
      </c>
    </row>
    <row r="497" spans="1:2" x14ac:dyDescent="0.2">
      <c r="A497" t="s">
        <v>8221</v>
      </c>
      <c r="B497">
        <v>34</v>
      </c>
    </row>
    <row r="498" spans="1:2" x14ac:dyDescent="0.2">
      <c r="A498" t="s">
        <v>8221</v>
      </c>
      <c r="B498">
        <v>34</v>
      </c>
    </row>
    <row r="499" spans="1:2" x14ac:dyDescent="0.2">
      <c r="A499" t="s">
        <v>8221</v>
      </c>
      <c r="B499">
        <v>34</v>
      </c>
    </row>
    <row r="500" spans="1:2" x14ac:dyDescent="0.2">
      <c r="A500" t="s">
        <v>8221</v>
      </c>
      <c r="B500">
        <v>34</v>
      </c>
    </row>
    <row r="501" spans="1:2" x14ac:dyDescent="0.2">
      <c r="A501" t="s">
        <v>8221</v>
      </c>
      <c r="B501">
        <v>33</v>
      </c>
    </row>
    <row r="502" spans="1:2" x14ac:dyDescent="0.2">
      <c r="A502" t="s">
        <v>8221</v>
      </c>
      <c r="B502">
        <v>33</v>
      </c>
    </row>
    <row r="503" spans="1:2" x14ac:dyDescent="0.2">
      <c r="A503" t="s">
        <v>8221</v>
      </c>
      <c r="B503">
        <v>33</v>
      </c>
    </row>
    <row r="504" spans="1:2" x14ac:dyDescent="0.2">
      <c r="A504" t="s">
        <v>8221</v>
      </c>
      <c r="B504">
        <v>33</v>
      </c>
    </row>
    <row r="505" spans="1:2" x14ac:dyDescent="0.2">
      <c r="A505" t="s">
        <v>8221</v>
      </c>
      <c r="B505">
        <v>33</v>
      </c>
    </row>
    <row r="506" spans="1:2" x14ac:dyDescent="0.2">
      <c r="A506" t="s">
        <v>8221</v>
      </c>
      <c r="B506">
        <v>33</v>
      </c>
    </row>
    <row r="507" spans="1:2" x14ac:dyDescent="0.2">
      <c r="A507" t="s">
        <v>8221</v>
      </c>
      <c r="B507">
        <v>33</v>
      </c>
    </row>
    <row r="508" spans="1:2" x14ac:dyDescent="0.2">
      <c r="A508" t="s">
        <v>8221</v>
      </c>
      <c r="B508">
        <v>32</v>
      </c>
    </row>
    <row r="509" spans="1:2" x14ac:dyDescent="0.2">
      <c r="A509" t="s">
        <v>8221</v>
      </c>
      <c r="B509">
        <v>32</v>
      </c>
    </row>
    <row r="510" spans="1:2" x14ac:dyDescent="0.2">
      <c r="A510" t="s">
        <v>8221</v>
      </c>
      <c r="B510">
        <v>32</v>
      </c>
    </row>
    <row r="511" spans="1:2" x14ac:dyDescent="0.2">
      <c r="A511" t="s">
        <v>8221</v>
      </c>
      <c r="B511">
        <v>31</v>
      </c>
    </row>
    <row r="512" spans="1:2" x14ac:dyDescent="0.2">
      <c r="A512" t="s">
        <v>8221</v>
      </c>
      <c r="B512">
        <v>31</v>
      </c>
    </row>
    <row r="513" spans="1:2" x14ac:dyDescent="0.2">
      <c r="A513" t="s">
        <v>8221</v>
      </c>
      <c r="B513">
        <v>31</v>
      </c>
    </row>
    <row r="514" spans="1:2" x14ac:dyDescent="0.2">
      <c r="A514" t="s">
        <v>8221</v>
      </c>
      <c r="B514">
        <v>31</v>
      </c>
    </row>
    <row r="515" spans="1:2" x14ac:dyDescent="0.2">
      <c r="A515" t="s">
        <v>8221</v>
      </c>
      <c r="B515">
        <v>31</v>
      </c>
    </row>
    <row r="516" spans="1:2" x14ac:dyDescent="0.2">
      <c r="A516" t="s">
        <v>8221</v>
      </c>
      <c r="B516">
        <v>31</v>
      </c>
    </row>
    <row r="517" spans="1:2" x14ac:dyDescent="0.2">
      <c r="A517" t="s">
        <v>8221</v>
      </c>
      <c r="B517">
        <v>31</v>
      </c>
    </row>
    <row r="518" spans="1:2" x14ac:dyDescent="0.2">
      <c r="A518" t="s">
        <v>8221</v>
      </c>
      <c r="B518">
        <v>30</v>
      </c>
    </row>
    <row r="519" spans="1:2" x14ac:dyDescent="0.2">
      <c r="A519" t="s">
        <v>8221</v>
      </c>
      <c r="B519">
        <v>30</v>
      </c>
    </row>
    <row r="520" spans="1:2" x14ac:dyDescent="0.2">
      <c r="A520" t="s">
        <v>8221</v>
      </c>
      <c r="B520">
        <v>30</v>
      </c>
    </row>
    <row r="521" spans="1:2" x14ac:dyDescent="0.2">
      <c r="A521" t="s">
        <v>8221</v>
      </c>
      <c r="B521">
        <v>30</v>
      </c>
    </row>
    <row r="522" spans="1:2" hidden="1" x14ac:dyDescent="0.2">
      <c r="A522" t="s">
        <v>8219</v>
      </c>
      <c r="B522">
        <v>34</v>
      </c>
    </row>
    <row r="523" spans="1:2" hidden="1" x14ac:dyDescent="0.2">
      <c r="A523" t="s">
        <v>8219</v>
      </c>
      <c r="B523">
        <v>56</v>
      </c>
    </row>
    <row r="524" spans="1:2" hidden="1" x14ac:dyDescent="0.2">
      <c r="A524" t="s">
        <v>8219</v>
      </c>
      <c r="B524">
        <v>31</v>
      </c>
    </row>
    <row r="525" spans="1:2" hidden="1" x14ac:dyDescent="0.2">
      <c r="A525" t="s">
        <v>8219</v>
      </c>
      <c r="B525">
        <v>84</v>
      </c>
    </row>
    <row r="526" spans="1:2" hidden="1" x14ac:dyDescent="0.2">
      <c r="A526" t="s">
        <v>8219</v>
      </c>
      <c r="B526">
        <v>130</v>
      </c>
    </row>
    <row r="527" spans="1:2" hidden="1" x14ac:dyDescent="0.2">
      <c r="A527" t="s">
        <v>8219</v>
      </c>
      <c r="B527">
        <v>12</v>
      </c>
    </row>
    <row r="528" spans="1:2" hidden="1" x14ac:dyDescent="0.2">
      <c r="A528" t="s">
        <v>8219</v>
      </c>
      <c r="B528">
        <v>23</v>
      </c>
    </row>
    <row r="529" spans="1:2" hidden="1" x14ac:dyDescent="0.2">
      <c r="A529" t="s">
        <v>8219</v>
      </c>
      <c r="B529">
        <v>158</v>
      </c>
    </row>
    <row r="530" spans="1:2" hidden="1" x14ac:dyDescent="0.2">
      <c r="A530" t="s">
        <v>8219</v>
      </c>
      <c r="B530">
        <v>30</v>
      </c>
    </row>
    <row r="531" spans="1:2" hidden="1" x14ac:dyDescent="0.2">
      <c r="A531" t="s">
        <v>8219</v>
      </c>
      <c r="B531">
        <v>18</v>
      </c>
    </row>
    <row r="532" spans="1:2" hidden="1" x14ac:dyDescent="0.2">
      <c r="A532" t="s">
        <v>8219</v>
      </c>
      <c r="B532">
        <v>29</v>
      </c>
    </row>
    <row r="533" spans="1:2" hidden="1" x14ac:dyDescent="0.2">
      <c r="A533" t="s">
        <v>8219</v>
      </c>
      <c r="B533">
        <v>31</v>
      </c>
    </row>
    <row r="534" spans="1:2" hidden="1" x14ac:dyDescent="0.2">
      <c r="A534" t="s">
        <v>8219</v>
      </c>
      <c r="B534">
        <v>173</v>
      </c>
    </row>
    <row r="535" spans="1:2" hidden="1" x14ac:dyDescent="0.2">
      <c r="A535" t="s">
        <v>8219</v>
      </c>
      <c r="B535">
        <v>17</v>
      </c>
    </row>
    <row r="536" spans="1:2" hidden="1" x14ac:dyDescent="0.2">
      <c r="A536" t="s">
        <v>8219</v>
      </c>
      <c r="B536">
        <v>48</v>
      </c>
    </row>
    <row r="537" spans="1:2" hidden="1" x14ac:dyDescent="0.2">
      <c r="A537" t="s">
        <v>8219</v>
      </c>
      <c r="B537">
        <v>59</v>
      </c>
    </row>
    <row r="538" spans="1:2" hidden="1" x14ac:dyDescent="0.2">
      <c r="A538" t="s">
        <v>8219</v>
      </c>
      <c r="B538">
        <v>39</v>
      </c>
    </row>
    <row r="539" spans="1:2" hidden="1" x14ac:dyDescent="0.2">
      <c r="A539" t="s">
        <v>8219</v>
      </c>
      <c r="B539">
        <v>59</v>
      </c>
    </row>
    <row r="540" spans="1:2" hidden="1" x14ac:dyDescent="0.2">
      <c r="A540" t="s">
        <v>8219</v>
      </c>
      <c r="B540">
        <v>60</v>
      </c>
    </row>
    <row r="541" spans="1:2" hidden="1" x14ac:dyDescent="0.2">
      <c r="A541" t="s">
        <v>8219</v>
      </c>
      <c r="B541">
        <v>20</v>
      </c>
    </row>
    <row r="542" spans="1:2" x14ac:dyDescent="0.2">
      <c r="A542" t="s">
        <v>8221</v>
      </c>
      <c r="B542">
        <v>30</v>
      </c>
    </row>
    <row r="543" spans="1:2" x14ac:dyDescent="0.2">
      <c r="A543" t="s">
        <v>8221</v>
      </c>
      <c r="B543">
        <v>30</v>
      </c>
    </row>
    <row r="544" spans="1:2" x14ac:dyDescent="0.2">
      <c r="A544" t="s">
        <v>8221</v>
      </c>
      <c r="B544">
        <v>30</v>
      </c>
    </row>
    <row r="545" spans="1:2" x14ac:dyDescent="0.2">
      <c r="A545" t="s">
        <v>8221</v>
      </c>
      <c r="B545">
        <v>29</v>
      </c>
    </row>
    <row r="546" spans="1:2" x14ac:dyDescent="0.2">
      <c r="A546" t="s">
        <v>8221</v>
      </c>
      <c r="B546">
        <v>29</v>
      </c>
    </row>
    <row r="547" spans="1:2" x14ac:dyDescent="0.2">
      <c r="A547" t="s">
        <v>8221</v>
      </c>
      <c r="B547">
        <v>29</v>
      </c>
    </row>
    <row r="548" spans="1:2" x14ac:dyDescent="0.2">
      <c r="A548" t="s">
        <v>8221</v>
      </c>
      <c r="B548">
        <v>29</v>
      </c>
    </row>
    <row r="549" spans="1:2" x14ac:dyDescent="0.2">
      <c r="A549" t="s">
        <v>8221</v>
      </c>
      <c r="B549">
        <v>29</v>
      </c>
    </row>
    <row r="550" spans="1:2" x14ac:dyDescent="0.2">
      <c r="A550" t="s">
        <v>8221</v>
      </c>
      <c r="B550">
        <v>29</v>
      </c>
    </row>
    <row r="551" spans="1:2" x14ac:dyDescent="0.2">
      <c r="A551" t="s">
        <v>8221</v>
      </c>
      <c r="B551">
        <v>29</v>
      </c>
    </row>
    <row r="552" spans="1:2" x14ac:dyDescent="0.2">
      <c r="A552" t="s">
        <v>8221</v>
      </c>
      <c r="B552">
        <v>29</v>
      </c>
    </row>
    <row r="553" spans="1:2" x14ac:dyDescent="0.2">
      <c r="A553" t="s">
        <v>8221</v>
      </c>
      <c r="B553">
        <v>29</v>
      </c>
    </row>
    <row r="554" spans="1:2" x14ac:dyDescent="0.2">
      <c r="A554" t="s">
        <v>8221</v>
      </c>
      <c r="B554">
        <v>28</v>
      </c>
    </row>
    <row r="555" spans="1:2" x14ac:dyDescent="0.2">
      <c r="A555" t="s">
        <v>8221</v>
      </c>
      <c r="B555">
        <v>28</v>
      </c>
    </row>
    <row r="556" spans="1:2" x14ac:dyDescent="0.2">
      <c r="A556" t="s">
        <v>8221</v>
      </c>
      <c r="B556">
        <v>28</v>
      </c>
    </row>
    <row r="557" spans="1:2" x14ac:dyDescent="0.2">
      <c r="A557" t="s">
        <v>8221</v>
      </c>
      <c r="B557">
        <v>28</v>
      </c>
    </row>
    <row r="558" spans="1:2" x14ac:dyDescent="0.2">
      <c r="A558" t="s">
        <v>8221</v>
      </c>
      <c r="B558">
        <v>28</v>
      </c>
    </row>
    <row r="559" spans="1:2" x14ac:dyDescent="0.2">
      <c r="A559" t="s">
        <v>8221</v>
      </c>
      <c r="B559">
        <v>28</v>
      </c>
    </row>
    <row r="560" spans="1:2" x14ac:dyDescent="0.2">
      <c r="A560" t="s">
        <v>8221</v>
      </c>
      <c r="B560">
        <v>28</v>
      </c>
    </row>
    <row r="561" spans="1:2" x14ac:dyDescent="0.2">
      <c r="A561" t="s">
        <v>8221</v>
      </c>
      <c r="B561">
        <v>28</v>
      </c>
    </row>
    <row r="562" spans="1:2" x14ac:dyDescent="0.2">
      <c r="A562" t="s">
        <v>8221</v>
      </c>
      <c r="B562">
        <v>27</v>
      </c>
    </row>
    <row r="563" spans="1:2" x14ac:dyDescent="0.2">
      <c r="A563" t="s">
        <v>8221</v>
      </c>
      <c r="B563">
        <v>27</v>
      </c>
    </row>
    <row r="564" spans="1:2" x14ac:dyDescent="0.2">
      <c r="A564" t="s">
        <v>8221</v>
      </c>
      <c r="B564">
        <v>27</v>
      </c>
    </row>
    <row r="565" spans="1:2" x14ac:dyDescent="0.2">
      <c r="A565" t="s">
        <v>8221</v>
      </c>
      <c r="B565">
        <v>27</v>
      </c>
    </row>
    <row r="566" spans="1:2" x14ac:dyDescent="0.2">
      <c r="A566" t="s">
        <v>8221</v>
      </c>
      <c r="B566">
        <v>27</v>
      </c>
    </row>
    <row r="567" spans="1:2" x14ac:dyDescent="0.2">
      <c r="A567" t="s">
        <v>8221</v>
      </c>
      <c r="B567">
        <v>27</v>
      </c>
    </row>
    <row r="568" spans="1:2" x14ac:dyDescent="0.2">
      <c r="A568" t="s">
        <v>8221</v>
      </c>
      <c r="B568">
        <v>27</v>
      </c>
    </row>
    <row r="569" spans="1:2" x14ac:dyDescent="0.2">
      <c r="A569" t="s">
        <v>8221</v>
      </c>
      <c r="B569">
        <v>26</v>
      </c>
    </row>
    <row r="570" spans="1:2" x14ac:dyDescent="0.2">
      <c r="A570" t="s">
        <v>8221</v>
      </c>
      <c r="B570">
        <v>26</v>
      </c>
    </row>
    <row r="571" spans="1:2" x14ac:dyDescent="0.2">
      <c r="A571" t="s">
        <v>8221</v>
      </c>
      <c r="B571">
        <v>26</v>
      </c>
    </row>
    <row r="572" spans="1:2" x14ac:dyDescent="0.2">
      <c r="A572" t="s">
        <v>8221</v>
      </c>
      <c r="B572">
        <v>26</v>
      </c>
    </row>
    <row r="573" spans="1:2" x14ac:dyDescent="0.2">
      <c r="A573" t="s">
        <v>8221</v>
      </c>
      <c r="B573">
        <v>26</v>
      </c>
    </row>
    <row r="574" spans="1:2" x14ac:dyDescent="0.2">
      <c r="A574" t="s">
        <v>8221</v>
      </c>
      <c r="B574">
        <v>26</v>
      </c>
    </row>
    <row r="575" spans="1:2" x14ac:dyDescent="0.2">
      <c r="A575" t="s">
        <v>8221</v>
      </c>
      <c r="B575">
        <v>25</v>
      </c>
    </row>
    <row r="576" spans="1:2" x14ac:dyDescent="0.2">
      <c r="A576" t="s">
        <v>8221</v>
      </c>
      <c r="B576">
        <v>25</v>
      </c>
    </row>
    <row r="577" spans="1:2" x14ac:dyDescent="0.2">
      <c r="A577" t="s">
        <v>8221</v>
      </c>
      <c r="B577">
        <v>25</v>
      </c>
    </row>
    <row r="578" spans="1:2" x14ac:dyDescent="0.2">
      <c r="A578" t="s">
        <v>8221</v>
      </c>
      <c r="B578">
        <v>25</v>
      </c>
    </row>
    <row r="579" spans="1:2" x14ac:dyDescent="0.2">
      <c r="A579" t="s">
        <v>8221</v>
      </c>
      <c r="B579">
        <v>25</v>
      </c>
    </row>
    <row r="580" spans="1:2" x14ac:dyDescent="0.2">
      <c r="A580" t="s">
        <v>8221</v>
      </c>
      <c r="B580">
        <v>25</v>
      </c>
    </row>
    <row r="581" spans="1:2" x14ac:dyDescent="0.2">
      <c r="A581" t="s">
        <v>8221</v>
      </c>
      <c r="B581">
        <v>25</v>
      </c>
    </row>
    <row r="582" spans="1:2" x14ac:dyDescent="0.2">
      <c r="A582" t="s">
        <v>8221</v>
      </c>
      <c r="B582">
        <v>24</v>
      </c>
    </row>
    <row r="583" spans="1:2" x14ac:dyDescent="0.2">
      <c r="A583" t="s">
        <v>8221</v>
      </c>
      <c r="B583">
        <v>24</v>
      </c>
    </row>
    <row r="584" spans="1:2" x14ac:dyDescent="0.2">
      <c r="A584" t="s">
        <v>8221</v>
      </c>
      <c r="B584">
        <v>24</v>
      </c>
    </row>
    <row r="585" spans="1:2" x14ac:dyDescent="0.2">
      <c r="A585" t="s">
        <v>8221</v>
      </c>
      <c r="B585">
        <v>24</v>
      </c>
    </row>
    <row r="586" spans="1:2" x14ac:dyDescent="0.2">
      <c r="A586" t="s">
        <v>8221</v>
      </c>
      <c r="B586">
        <v>24</v>
      </c>
    </row>
    <row r="587" spans="1:2" x14ac:dyDescent="0.2">
      <c r="A587" t="s">
        <v>8221</v>
      </c>
      <c r="B587">
        <v>24</v>
      </c>
    </row>
    <row r="588" spans="1:2" x14ac:dyDescent="0.2">
      <c r="A588" t="s">
        <v>8221</v>
      </c>
      <c r="B588">
        <v>24</v>
      </c>
    </row>
    <row r="589" spans="1:2" x14ac:dyDescent="0.2">
      <c r="A589" t="s">
        <v>8221</v>
      </c>
      <c r="B589">
        <v>24</v>
      </c>
    </row>
    <row r="590" spans="1:2" x14ac:dyDescent="0.2">
      <c r="A590" t="s">
        <v>8221</v>
      </c>
      <c r="B590">
        <v>24</v>
      </c>
    </row>
    <row r="591" spans="1:2" x14ac:dyDescent="0.2">
      <c r="A591" t="s">
        <v>8221</v>
      </c>
      <c r="B591">
        <v>24</v>
      </c>
    </row>
    <row r="592" spans="1:2" x14ac:dyDescent="0.2">
      <c r="A592" t="s">
        <v>8221</v>
      </c>
      <c r="B592">
        <v>24</v>
      </c>
    </row>
    <row r="593" spans="1:2" x14ac:dyDescent="0.2">
      <c r="A593" t="s">
        <v>8221</v>
      </c>
      <c r="B593">
        <v>24</v>
      </c>
    </row>
    <row r="594" spans="1:2" x14ac:dyDescent="0.2">
      <c r="A594" t="s">
        <v>8221</v>
      </c>
      <c r="B594">
        <v>24</v>
      </c>
    </row>
    <row r="595" spans="1:2" x14ac:dyDescent="0.2">
      <c r="A595" t="s">
        <v>8221</v>
      </c>
      <c r="B595">
        <v>23</v>
      </c>
    </row>
    <row r="596" spans="1:2" x14ac:dyDescent="0.2">
      <c r="A596" t="s">
        <v>8221</v>
      </c>
      <c r="B596">
        <v>23</v>
      </c>
    </row>
    <row r="597" spans="1:2" x14ac:dyDescent="0.2">
      <c r="A597" t="s">
        <v>8221</v>
      </c>
      <c r="B597">
        <v>23</v>
      </c>
    </row>
    <row r="598" spans="1:2" x14ac:dyDescent="0.2">
      <c r="A598" t="s">
        <v>8221</v>
      </c>
      <c r="B598">
        <v>23</v>
      </c>
    </row>
    <row r="599" spans="1:2" x14ac:dyDescent="0.2">
      <c r="A599" t="s">
        <v>8221</v>
      </c>
      <c r="B599">
        <v>23</v>
      </c>
    </row>
    <row r="600" spans="1:2" x14ac:dyDescent="0.2">
      <c r="A600" t="s">
        <v>8221</v>
      </c>
      <c r="B600">
        <v>23</v>
      </c>
    </row>
    <row r="601" spans="1:2" x14ac:dyDescent="0.2">
      <c r="A601" t="s">
        <v>8221</v>
      </c>
      <c r="B601">
        <v>23</v>
      </c>
    </row>
    <row r="602" spans="1:2" hidden="1" x14ac:dyDescent="0.2">
      <c r="A602" t="s">
        <v>8220</v>
      </c>
      <c r="B602">
        <v>1</v>
      </c>
    </row>
    <row r="603" spans="1:2" hidden="1" x14ac:dyDescent="0.2">
      <c r="A603" t="s">
        <v>8220</v>
      </c>
      <c r="B603">
        <v>6</v>
      </c>
    </row>
    <row r="604" spans="1:2" hidden="1" x14ac:dyDescent="0.2">
      <c r="A604" t="s">
        <v>8220</v>
      </c>
      <c r="B604">
        <v>0</v>
      </c>
    </row>
    <row r="605" spans="1:2" hidden="1" x14ac:dyDescent="0.2">
      <c r="A605" t="s">
        <v>8220</v>
      </c>
      <c r="B605">
        <v>13</v>
      </c>
    </row>
    <row r="606" spans="1:2" hidden="1" x14ac:dyDescent="0.2">
      <c r="A606" t="s">
        <v>8220</v>
      </c>
      <c r="B606">
        <v>0</v>
      </c>
    </row>
    <row r="607" spans="1:2" hidden="1" x14ac:dyDescent="0.2">
      <c r="A607" t="s">
        <v>8220</v>
      </c>
      <c r="B607">
        <v>8</v>
      </c>
    </row>
    <row r="608" spans="1:2" hidden="1" x14ac:dyDescent="0.2">
      <c r="A608" t="s">
        <v>8220</v>
      </c>
      <c r="B608">
        <v>1</v>
      </c>
    </row>
    <row r="609" spans="1:2" hidden="1" x14ac:dyDescent="0.2">
      <c r="A609" t="s">
        <v>8220</v>
      </c>
      <c r="B609">
        <v>0</v>
      </c>
    </row>
    <row r="610" spans="1:2" hidden="1" x14ac:dyDescent="0.2">
      <c r="A610" t="s">
        <v>8220</v>
      </c>
      <c r="B610">
        <v>5</v>
      </c>
    </row>
    <row r="611" spans="1:2" hidden="1" x14ac:dyDescent="0.2">
      <c r="A611" t="s">
        <v>8220</v>
      </c>
      <c r="B611">
        <v>1</v>
      </c>
    </row>
    <row r="612" spans="1:2" hidden="1" x14ac:dyDescent="0.2">
      <c r="A612" t="s">
        <v>8220</v>
      </c>
      <c r="B612">
        <v>0</v>
      </c>
    </row>
    <row r="613" spans="1:2" hidden="1" x14ac:dyDescent="0.2">
      <c r="A613" t="s">
        <v>8220</v>
      </c>
      <c r="B613">
        <v>0</v>
      </c>
    </row>
    <row r="614" spans="1:2" hidden="1" x14ac:dyDescent="0.2">
      <c r="A614" t="s">
        <v>8220</v>
      </c>
      <c r="B614">
        <v>0</v>
      </c>
    </row>
    <row r="615" spans="1:2" hidden="1" x14ac:dyDescent="0.2">
      <c r="A615" t="s">
        <v>8220</v>
      </c>
      <c r="B615">
        <v>121</v>
      </c>
    </row>
    <row r="616" spans="1:2" hidden="1" x14ac:dyDescent="0.2">
      <c r="A616" t="s">
        <v>8220</v>
      </c>
      <c r="B616">
        <v>0</v>
      </c>
    </row>
    <row r="617" spans="1:2" hidden="1" x14ac:dyDescent="0.2">
      <c r="A617" t="s">
        <v>8220</v>
      </c>
      <c r="B617">
        <v>0</v>
      </c>
    </row>
    <row r="618" spans="1:2" hidden="1" x14ac:dyDescent="0.2">
      <c r="A618" t="s">
        <v>8220</v>
      </c>
      <c r="B618">
        <v>0</v>
      </c>
    </row>
    <row r="619" spans="1:2" hidden="1" x14ac:dyDescent="0.2">
      <c r="A619" t="s">
        <v>8220</v>
      </c>
      <c r="B619">
        <v>3</v>
      </c>
    </row>
    <row r="620" spans="1:2" hidden="1" x14ac:dyDescent="0.2">
      <c r="A620" t="s">
        <v>8220</v>
      </c>
      <c r="B620">
        <v>0</v>
      </c>
    </row>
    <row r="621" spans="1:2" hidden="1" x14ac:dyDescent="0.2">
      <c r="A621" t="s">
        <v>8220</v>
      </c>
      <c r="B621">
        <v>1</v>
      </c>
    </row>
    <row r="622" spans="1:2" hidden="1" x14ac:dyDescent="0.2">
      <c r="A622" t="s">
        <v>8220</v>
      </c>
      <c r="B622">
        <v>1</v>
      </c>
    </row>
    <row r="623" spans="1:2" hidden="1" x14ac:dyDescent="0.2">
      <c r="A623" t="s">
        <v>8220</v>
      </c>
      <c r="B623">
        <v>3</v>
      </c>
    </row>
    <row r="624" spans="1:2" hidden="1" x14ac:dyDescent="0.2">
      <c r="A624" t="s">
        <v>8220</v>
      </c>
      <c r="B624">
        <v>9</v>
      </c>
    </row>
    <row r="625" spans="1:2" hidden="1" x14ac:dyDescent="0.2">
      <c r="A625" t="s">
        <v>8220</v>
      </c>
      <c r="B625">
        <v>0</v>
      </c>
    </row>
    <row r="626" spans="1:2" hidden="1" x14ac:dyDescent="0.2">
      <c r="A626" t="s">
        <v>8220</v>
      </c>
      <c r="B626">
        <v>0</v>
      </c>
    </row>
    <row r="627" spans="1:2" hidden="1" x14ac:dyDescent="0.2">
      <c r="A627" t="s">
        <v>8220</v>
      </c>
      <c r="B627">
        <v>0</v>
      </c>
    </row>
    <row r="628" spans="1:2" hidden="1" x14ac:dyDescent="0.2">
      <c r="A628" t="s">
        <v>8220</v>
      </c>
      <c r="B628">
        <v>39</v>
      </c>
    </row>
    <row r="629" spans="1:2" hidden="1" x14ac:dyDescent="0.2">
      <c r="A629" t="s">
        <v>8220</v>
      </c>
      <c r="B629">
        <v>1</v>
      </c>
    </row>
    <row r="630" spans="1:2" hidden="1" x14ac:dyDescent="0.2">
      <c r="A630" t="s">
        <v>8220</v>
      </c>
      <c r="B630">
        <v>0</v>
      </c>
    </row>
    <row r="631" spans="1:2" hidden="1" x14ac:dyDescent="0.2">
      <c r="A631" t="s">
        <v>8220</v>
      </c>
      <c r="B631">
        <v>3</v>
      </c>
    </row>
    <row r="632" spans="1:2" hidden="1" x14ac:dyDescent="0.2">
      <c r="A632" t="s">
        <v>8220</v>
      </c>
      <c r="B632">
        <v>1</v>
      </c>
    </row>
    <row r="633" spans="1:2" hidden="1" x14ac:dyDescent="0.2">
      <c r="A633" t="s">
        <v>8220</v>
      </c>
      <c r="B633">
        <v>9</v>
      </c>
    </row>
    <row r="634" spans="1:2" hidden="1" x14ac:dyDescent="0.2">
      <c r="A634" t="s">
        <v>8220</v>
      </c>
      <c r="B634">
        <v>0</v>
      </c>
    </row>
    <row r="635" spans="1:2" hidden="1" x14ac:dyDescent="0.2">
      <c r="A635" t="s">
        <v>8220</v>
      </c>
      <c r="B635">
        <v>25</v>
      </c>
    </row>
    <row r="636" spans="1:2" hidden="1" x14ac:dyDescent="0.2">
      <c r="A636" t="s">
        <v>8220</v>
      </c>
      <c r="B636">
        <v>1</v>
      </c>
    </row>
    <row r="637" spans="1:2" hidden="1" x14ac:dyDescent="0.2">
      <c r="A637" t="s">
        <v>8220</v>
      </c>
      <c r="B637">
        <v>1</v>
      </c>
    </row>
    <row r="638" spans="1:2" hidden="1" x14ac:dyDescent="0.2">
      <c r="A638" t="s">
        <v>8220</v>
      </c>
      <c r="B638">
        <v>1</v>
      </c>
    </row>
    <row r="639" spans="1:2" hidden="1" x14ac:dyDescent="0.2">
      <c r="A639" t="s">
        <v>8220</v>
      </c>
      <c r="B639">
        <v>0</v>
      </c>
    </row>
    <row r="640" spans="1:2" hidden="1" x14ac:dyDescent="0.2">
      <c r="A640" t="s">
        <v>8220</v>
      </c>
      <c r="B640">
        <v>6</v>
      </c>
    </row>
    <row r="641" spans="1:2" hidden="1" x14ac:dyDescent="0.2">
      <c r="A641" t="s">
        <v>8220</v>
      </c>
      <c r="B641">
        <v>1</v>
      </c>
    </row>
    <row r="642" spans="1:2" hidden="1" x14ac:dyDescent="0.2">
      <c r="A642" t="s">
        <v>8219</v>
      </c>
      <c r="B642">
        <v>2</v>
      </c>
    </row>
    <row r="643" spans="1:2" hidden="1" x14ac:dyDescent="0.2">
      <c r="A643" t="s">
        <v>8219</v>
      </c>
      <c r="B643">
        <v>315</v>
      </c>
    </row>
    <row r="644" spans="1:2" hidden="1" x14ac:dyDescent="0.2">
      <c r="A644" t="s">
        <v>8219</v>
      </c>
      <c r="B644">
        <v>2174</v>
      </c>
    </row>
    <row r="645" spans="1:2" hidden="1" x14ac:dyDescent="0.2">
      <c r="A645" t="s">
        <v>8219</v>
      </c>
      <c r="B645">
        <v>152</v>
      </c>
    </row>
    <row r="646" spans="1:2" hidden="1" x14ac:dyDescent="0.2">
      <c r="A646" t="s">
        <v>8219</v>
      </c>
      <c r="B646">
        <v>1021</v>
      </c>
    </row>
    <row r="647" spans="1:2" hidden="1" x14ac:dyDescent="0.2">
      <c r="A647" t="s">
        <v>8219</v>
      </c>
      <c r="B647">
        <v>237</v>
      </c>
    </row>
    <row r="648" spans="1:2" hidden="1" x14ac:dyDescent="0.2">
      <c r="A648" t="s">
        <v>8219</v>
      </c>
      <c r="B648">
        <v>27</v>
      </c>
    </row>
    <row r="649" spans="1:2" hidden="1" x14ac:dyDescent="0.2">
      <c r="A649" t="s">
        <v>8219</v>
      </c>
      <c r="B649">
        <v>17</v>
      </c>
    </row>
    <row r="650" spans="1:2" hidden="1" x14ac:dyDescent="0.2">
      <c r="A650" t="s">
        <v>8219</v>
      </c>
      <c r="B650">
        <v>27</v>
      </c>
    </row>
    <row r="651" spans="1:2" hidden="1" x14ac:dyDescent="0.2">
      <c r="A651" t="s">
        <v>8219</v>
      </c>
      <c r="B651">
        <v>82</v>
      </c>
    </row>
    <row r="652" spans="1:2" hidden="1" x14ac:dyDescent="0.2">
      <c r="A652" t="s">
        <v>8219</v>
      </c>
      <c r="B652">
        <v>48</v>
      </c>
    </row>
    <row r="653" spans="1:2" hidden="1" x14ac:dyDescent="0.2">
      <c r="A653" t="s">
        <v>8219</v>
      </c>
      <c r="B653">
        <v>105</v>
      </c>
    </row>
    <row r="654" spans="1:2" hidden="1" x14ac:dyDescent="0.2">
      <c r="A654" t="s">
        <v>8219</v>
      </c>
      <c r="B654">
        <v>28</v>
      </c>
    </row>
    <row r="655" spans="1:2" hidden="1" x14ac:dyDescent="0.2">
      <c r="A655" t="s">
        <v>8219</v>
      </c>
      <c r="B655">
        <v>1107</v>
      </c>
    </row>
    <row r="656" spans="1:2" hidden="1" x14ac:dyDescent="0.2">
      <c r="A656" t="s">
        <v>8219</v>
      </c>
      <c r="B656">
        <v>1013</v>
      </c>
    </row>
    <row r="657" spans="1:2" hidden="1" x14ac:dyDescent="0.2">
      <c r="A657" t="s">
        <v>8219</v>
      </c>
      <c r="B657">
        <v>274</v>
      </c>
    </row>
    <row r="658" spans="1:2" hidden="1" x14ac:dyDescent="0.2">
      <c r="A658" t="s">
        <v>8219</v>
      </c>
      <c r="B658">
        <v>87</v>
      </c>
    </row>
    <row r="659" spans="1:2" hidden="1" x14ac:dyDescent="0.2">
      <c r="A659" t="s">
        <v>8219</v>
      </c>
      <c r="B659">
        <v>99</v>
      </c>
    </row>
    <row r="660" spans="1:2" hidden="1" x14ac:dyDescent="0.2">
      <c r="A660" t="s">
        <v>8219</v>
      </c>
      <c r="B660">
        <v>276</v>
      </c>
    </row>
    <row r="661" spans="1:2" hidden="1" x14ac:dyDescent="0.2">
      <c r="A661" t="s">
        <v>8219</v>
      </c>
      <c r="B661">
        <v>21</v>
      </c>
    </row>
    <row r="662" spans="1:2" x14ac:dyDescent="0.2">
      <c r="A662" t="s">
        <v>8221</v>
      </c>
      <c r="B662">
        <v>22</v>
      </c>
    </row>
    <row r="663" spans="1:2" x14ac:dyDescent="0.2">
      <c r="A663" t="s">
        <v>8221</v>
      </c>
      <c r="B663">
        <v>22</v>
      </c>
    </row>
    <row r="664" spans="1:2" x14ac:dyDescent="0.2">
      <c r="A664" t="s">
        <v>8221</v>
      </c>
      <c r="B664">
        <v>22</v>
      </c>
    </row>
    <row r="665" spans="1:2" x14ac:dyDescent="0.2">
      <c r="A665" t="s">
        <v>8221</v>
      </c>
      <c r="B665">
        <v>22</v>
      </c>
    </row>
    <row r="666" spans="1:2" x14ac:dyDescent="0.2">
      <c r="A666" t="s">
        <v>8221</v>
      </c>
      <c r="B666">
        <v>22</v>
      </c>
    </row>
    <row r="667" spans="1:2" x14ac:dyDescent="0.2">
      <c r="A667" t="s">
        <v>8221</v>
      </c>
      <c r="B667">
        <v>22</v>
      </c>
    </row>
    <row r="668" spans="1:2" x14ac:dyDescent="0.2">
      <c r="A668" t="s">
        <v>8221</v>
      </c>
      <c r="B668">
        <v>22</v>
      </c>
    </row>
    <row r="669" spans="1:2" x14ac:dyDescent="0.2">
      <c r="A669" t="s">
        <v>8221</v>
      </c>
      <c r="B669">
        <v>21</v>
      </c>
    </row>
    <row r="670" spans="1:2" x14ac:dyDescent="0.2">
      <c r="A670" t="s">
        <v>8221</v>
      </c>
      <c r="B670">
        <v>21</v>
      </c>
    </row>
    <row r="671" spans="1:2" x14ac:dyDescent="0.2">
      <c r="A671" t="s">
        <v>8221</v>
      </c>
      <c r="B671">
        <v>21</v>
      </c>
    </row>
    <row r="672" spans="1:2" x14ac:dyDescent="0.2">
      <c r="A672" t="s">
        <v>8221</v>
      </c>
      <c r="B672">
        <v>21</v>
      </c>
    </row>
    <row r="673" spans="1:2" x14ac:dyDescent="0.2">
      <c r="A673" t="s">
        <v>8221</v>
      </c>
      <c r="B673">
        <v>21</v>
      </c>
    </row>
    <row r="674" spans="1:2" x14ac:dyDescent="0.2">
      <c r="A674" t="s">
        <v>8221</v>
      </c>
      <c r="B674">
        <v>21</v>
      </c>
    </row>
    <row r="675" spans="1:2" x14ac:dyDescent="0.2">
      <c r="A675" t="s">
        <v>8221</v>
      </c>
      <c r="B675">
        <v>21</v>
      </c>
    </row>
    <row r="676" spans="1:2" x14ac:dyDescent="0.2">
      <c r="A676" t="s">
        <v>8221</v>
      </c>
      <c r="B676">
        <v>21</v>
      </c>
    </row>
    <row r="677" spans="1:2" x14ac:dyDescent="0.2">
      <c r="A677" t="s">
        <v>8221</v>
      </c>
      <c r="B677">
        <v>21</v>
      </c>
    </row>
    <row r="678" spans="1:2" x14ac:dyDescent="0.2">
      <c r="A678" t="s">
        <v>8221</v>
      </c>
      <c r="B678">
        <v>20</v>
      </c>
    </row>
    <row r="679" spans="1:2" x14ac:dyDescent="0.2">
      <c r="A679" t="s">
        <v>8221</v>
      </c>
      <c r="B679">
        <v>20</v>
      </c>
    </row>
    <row r="680" spans="1:2" x14ac:dyDescent="0.2">
      <c r="A680" t="s">
        <v>8221</v>
      </c>
      <c r="B680">
        <v>20</v>
      </c>
    </row>
    <row r="681" spans="1:2" x14ac:dyDescent="0.2">
      <c r="A681" t="s">
        <v>8221</v>
      </c>
      <c r="B681">
        <v>20</v>
      </c>
    </row>
    <row r="682" spans="1:2" x14ac:dyDescent="0.2">
      <c r="A682" t="s">
        <v>8221</v>
      </c>
      <c r="B682">
        <v>20</v>
      </c>
    </row>
    <row r="683" spans="1:2" x14ac:dyDescent="0.2">
      <c r="A683" t="s">
        <v>8221</v>
      </c>
      <c r="B683">
        <v>20</v>
      </c>
    </row>
    <row r="684" spans="1:2" x14ac:dyDescent="0.2">
      <c r="A684" t="s">
        <v>8221</v>
      </c>
      <c r="B684">
        <v>20</v>
      </c>
    </row>
    <row r="685" spans="1:2" x14ac:dyDescent="0.2">
      <c r="A685" t="s">
        <v>8221</v>
      </c>
      <c r="B685">
        <v>20</v>
      </c>
    </row>
    <row r="686" spans="1:2" x14ac:dyDescent="0.2">
      <c r="A686" t="s">
        <v>8221</v>
      </c>
      <c r="B686">
        <v>19</v>
      </c>
    </row>
    <row r="687" spans="1:2" x14ac:dyDescent="0.2">
      <c r="A687" t="s">
        <v>8221</v>
      </c>
      <c r="B687">
        <v>19</v>
      </c>
    </row>
    <row r="688" spans="1:2" x14ac:dyDescent="0.2">
      <c r="A688" t="s">
        <v>8221</v>
      </c>
      <c r="B688">
        <v>19</v>
      </c>
    </row>
    <row r="689" spans="1:2" x14ac:dyDescent="0.2">
      <c r="A689" t="s">
        <v>8221</v>
      </c>
      <c r="B689">
        <v>19</v>
      </c>
    </row>
    <row r="690" spans="1:2" x14ac:dyDescent="0.2">
      <c r="A690" t="s">
        <v>8221</v>
      </c>
      <c r="B690">
        <v>19</v>
      </c>
    </row>
    <row r="691" spans="1:2" x14ac:dyDescent="0.2">
      <c r="A691" t="s">
        <v>8221</v>
      </c>
      <c r="B691">
        <v>19</v>
      </c>
    </row>
    <row r="692" spans="1:2" x14ac:dyDescent="0.2">
      <c r="A692" t="s">
        <v>8221</v>
      </c>
      <c r="B692">
        <v>19</v>
      </c>
    </row>
    <row r="693" spans="1:2" x14ac:dyDescent="0.2">
      <c r="A693" t="s">
        <v>8221</v>
      </c>
      <c r="B693">
        <v>19</v>
      </c>
    </row>
    <row r="694" spans="1:2" x14ac:dyDescent="0.2">
      <c r="A694" t="s">
        <v>8221</v>
      </c>
      <c r="B694">
        <v>19</v>
      </c>
    </row>
    <row r="695" spans="1:2" x14ac:dyDescent="0.2">
      <c r="A695" t="s">
        <v>8221</v>
      </c>
      <c r="B695">
        <v>19</v>
      </c>
    </row>
    <row r="696" spans="1:2" x14ac:dyDescent="0.2">
      <c r="A696" t="s">
        <v>8221</v>
      </c>
      <c r="B696">
        <v>19</v>
      </c>
    </row>
    <row r="697" spans="1:2" x14ac:dyDescent="0.2">
      <c r="A697" t="s">
        <v>8221</v>
      </c>
      <c r="B697">
        <v>18</v>
      </c>
    </row>
    <row r="698" spans="1:2" x14ac:dyDescent="0.2">
      <c r="A698" t="s">
        <v>8221</v>
      </c>
      <c r="B698">
        <v>18</v>
      </c>
    </row>
    <row r="699" spans="1:2" x14ac:dyDescent="0.2">
      <c r="A699" t="s">
        <v>8221</v>
      </c>
      <c r="B699">
        <v>18</v>
      </c>
    </row>
    <row r="700" spans="1:2" x14ac:dyDescent="0.2">
      <c r="A700" t="s">
        <v>8221</v>
      </c>
      <c r="B700">
        <v>18</v>
      </c>
    </row>
    <row r="701" spans="1:2" x14ac:dyDescent="0.2">
      <c r="A701" t="s">
        <v>8221</v>
      </c>
      <c r="B701">
        <v>18</v>
      </c>
    </row>
    <row r="702" spans="1:2" x14ac:dyDescent="0.2">
      <c r="A702" t="s">
        <v>8221</v>
      </c>
      <c r="B702">
        <v>18</v>
      </c>
    </row>
    <row r="703" spans="1:2" x14ac:dyDescent="0.2">
      <c r="A703" t="s">
        <v>8221</v>
      </c>
      <c r="B703">
        <v>18</v>
      </c>
    </row>
    <row r="704" spans="1:2" x14ac:dyDescent="0.2">
      <c r="A704" t="s">
        <v>8221</v>
      </c>
      <c r="B704">
        <v>18</v>
      </c>
    </row>
    <row r="705" spans="1:2" x14ac:dyDescent="0.2">
      <c r="A705" t="s">
        <v>8221</v>
      </c>
      <c r="B705">
        <v>17</v>
      </c>
    </row>
    <row r="706" spans="1:2" x14ac:dyDescent="0.2">
      <c r="A706" t="s">
        <v>8221</v>
      </c>
      <c r="B706">
        <v>17</v>
      </c>
    </row>
    <row r="707" spans="1:2" x14ac:dyDescent="0.2">
      <c r="A707" t="s">
        <v>8221</v>
      </c>
      <c r="B707">
        <v>17</v>
      </c>
    </row>
    <row r="708" spans="1:2" x14ac:dyDescent="0.2">
      <c r="A708" t="s">
        <v>8221</v>
      </c>
      <c r="B708">
        <v>17</v>
      </c>
    </row>
    <row r="709" spans="1:2" x14ac:dyDescent="0.2">
      <c r="A709" t="s">
        <v>8221</v>
      </c>
      <c r="B709">
        <v>17</v>
      </c>
    </row>
    <row r="710" spans="1:2" x14ac:dyDescent="0.2">
      <c r="A710" t="s">
        <v>8221</v>
      </c>
      <c r="B710">
        <v>17</v>
      </c>
    </row>
    <row r="711" spans="1:2" x14ac:dyDescent="0.2">
      <c r="A711" t="s">
        <v>8221</v>
      </c>
      <c r="B711">
        <v>17</v>
      </c>
    </row>
    <row r="712" spans="1:2" x14ac:dyDescent="0.2">
      <c r="A712" t="s">
        <v>8221</v>
      </c>
      <c r="B712">
        <v>17</v>
      </c>
    </row>
    <row r="713" spans="1:2" x14ac:dyDescent="0.2">
      <c r="A713" t="s">
        <v>8221</v>
      </c>
      <c r="B713">
        <v>17</v>
      </c>
    </row>
    <row r="714" spans="1:2" x14ac:dyDescent="0.2">
      <c r="A714" t="s">
        <v>8221</v>
      </c>
      <c r="B714">
        <v>17</v>
      </c>
    </row>
    <row r="715" spans="1:2" x14ac:dyDescent="0.2">
      <c r="A715" t="s">
        <v>8221</v>
      </c>
      <c r="B715">
        <v>17</v>
      </c>
    </row>
    <row r="716" spans="1:2" x14ac:dyDescent="0.2">
      <c r="A716" t="s">
        <v>8221</v>
      </c>
      <c r="B716">
        <v>17</v>
      </c>
    </row>
    <row r="717" spans="1:2" x14ac:dyDescent="0.2">
      <c r="A717" t="s">
        <v>8221</v>
      </c>
      <c r="B717">
        <v>17</v>
      </c>
    </row>
    <row r="718" spans="1:2" x14ac:dyDescent="0.2">
      <c r="A718" t="s">
        <v>8221</v>
      </c>
      <c r="B718">
        <v>17</v>
      </c>
    </row>
    <row r="719" spans="1:2" x14ac:dyDescent="0.2">
      <c r="A719" t="s">
        <v>8221</v>
      </c>
      <c r="B719">
        <v>17</v>
      </c>
    </row>
    <row r="720" spans="1:2" x14ac:dyDescent="0.2">
      <c r="A720" t="s">
        <v>8221</v>
      </c>
      <c r="B720">
        <v>17</v>
      </c>
    </row>
    <row r="721" spans="1:2" x14ac:dyDescent="0.2">
      <c r="A721" t="s">
        <v>8221</v>
      </c>
      <c r="B721">
        <v>16</v>
      </c>
    </row>
    <row r="722" spans="1:2" hidden="1" x14ac:dyDescent="0.2">
      <c r="A722" t="s">
        <v>8219</v>
      </c>
      <c r="B722">
        <v>41</v>
      </c>
    </row>
    <row r="723" spans="1:2" hidden="1" x14ac:dyDescent="0.2">
      <c r="A723" t="s">
        <v>8219</v>
      </c>
      <c r="B723">
        <v>119</v>
      </c>
    </row>
    <row r="724" spans="1:2" hidden="1" x14ac:dyDescent="0.2">
      <c r="A724" t="s">
        <v>8219</v>
      </c>
      <c r="B724">
        <v>153</v>
      </c>
    </row>
    <row r="725" spans="1:2" hidden="1" x14ac:dyDescent="0.2">
      <c r="A725" t="s">
        <v>8219</v>
      </c>
      <c r="B725">
        <v>100</v>
      </c>
    </row>
    <row r="726" spans="1:2" hidden="1" x14ac:dyDescent="0.2">
      <c r="A726" t="s">
        <v>8219</v>
      </c>
      <c r="B726">
        <v>143</v>
      </c>
    </row>
    <row r="727" spans="1:2" hidden="1" x14ac:dyDescent="0.2">
      <c r="A727" t="s">
        <v>8219</v>
      </c>
      <c r="B727">
        <v>140</v>
      </c>
    </row>
    <row r="728" spans="1:2" hidden="1" x14ac:dyDescent="0.2">
      <c r="A728" t="s">
        <v>8219</v>
      </c>
      <c r="B728">
        <v>35</v>
      </c>
    </row>
    <row r="729" spans="1:2" hidden="1" x14ac:dyDescent="0.2">
      <c r="A729" t="s">
        <v>8219</v>
      </c>
      <c r="B729">
        <v>149</v>
      </c>
    </row>
    <row r="730" spans="1:2" hidden="1" x14ac:dyDescent="0.2">
      <c r="A730" t="s">
        <v>8219</v>
      </c>
      <c r="B730">
        <v>130</v>
      </c>
    </row>
    <row r="731" spans="1:2" hidden="1" x14ac:dyDescent="0.2">
      <c r="A731" t="s">
        <v>8219</v>
      </c>
      <c r="B731">
        <v>120</v>
      </c>
    </row>
    <row r="732" spans="1:2" hidden="1" x14ac:dyDescent="0.2">
      <c r="A732" t="s">
        <v>8219</v>
      </c>
      <c r="B732">
        <v>265</v>
      </c>
    </row>
    <row r="733" spans="1:2" hidden="1" x14ac:dyDescent="0.2">
      <c r="A733" t="s">
        <v>8219</v>
      </c>
      <c r="B733">
        <v>71</v>
      </c>
    </row>
    <row r="734" spans="1:2" hidden="1" x14ac:dyDescent="0.2">
      <c r="A734" t="s">
        <v>8219</v>
      </c>
      <c r="B734">
        <v>13</v>
      </c>
    </row>
    <row r="735" spans="1:2" hidden="1" x14ac:dyDescent="0.2">
      <c r="A735" t="s">
        <v>8219</v>
      </c>
      <c r="B735">
        <v>169</v>
      </c>
    </row>
    <row r="736" spans="1:2" hidden="1" x14ac:dyDescent="0.2">
      <c r="A736" t="s">
        <v>8219</v>
      </c>
      <c r="B736">
        <v>57</v>
      </c>
    </row>
    <row r="737" spans="1:2" hidden="1" x14ac:dyDescent="0.2">
      <c r="A737" t="s">
        <v>8219</v>
      </c>
      <c r="B737">
        <v>229</v>
      </c>
    </row>
    <row r="738" spans="1:2" hidden="1" x14ac:dyDescent="0.2">
      <c r="A738" t="s">
        <v>8219</v>
      </c>
      <c r="B738">
        <v>108</v>
      </c>
    </row>
    <row r="739" spans="1:2" hidden="1" x14ac:dyDescent="0.2">
      <c r="A739" t="s">
        <v>8219</v>
      </c>
      <c r="B739">
        <v>108</v>
      </c>
    </row>
    <row r="740" spans="1:2" hidden="1" x14ac:dyDescent="0.2">
      <c r="A740" t="s">
        <v>8219</v>
      </c>
      <c r="B740">
        <v>41</v>
      </c>
    </row>
    <row r="741" spans="1:2" hidden="1" x14ac:dyDescent="0.2">
      <c r="A741" t="s">
        <v>8219</v>
      </c>
      <c r="B741">
        <v>139</v>
      </c>
    </row>
    <row r="742" spans="1:2" hidden="1" x14ac:dyDescent="0.2">
      <c r="A742" t="s">
        <v>8219</v>
      </c>
      <c r="B742">
        <v>19</v>
      </c>
    </row>
    <row r="743" spans="1:2" hidden="1" x14ac:dyDescent="0.2">
      <c r="A743" t="s">
        <v>8219</v>
      </c>
      <c r="B743">
        <v>94</v>
      </c>
    </row>
    <row r="744" spans="1:2" hidden="1" x14ac:dyDescent="0.2">
      <c r="A744" t="s">
        <v>8219</v>
      </c>
      <c r="B744">
        <v>23</v>
      </c>
    </row>
    <row r="745" spans="1:2" hidden="1" x14ac:dyDescent="0.2">
      <c r="A745" t="s">
        <v>8219</v>
      </c>
      <c r="B745">
        <v>15</v>
      </c>
    </row>
    <row r="746" spans="1:2" hidden="1" x14ac:dyDescent="0.2">
      <c r="A746" t="s">
        <v>8219</v>
      </c>
      <c r="B746">
        <v>62</v>
      </c>
    </row>
    <row r="747" spans="1:2" hidden="1" x14ac:dyDescent="0.2">
      <c r="A747" t="s">
        <v>8219</v>
      </c>
      <c r="B747">
        <v>74</v>
      </c>
    </row>
    <row r="748" spans="1:2" hidden="1" x14ac:dyDescent="0.2">
      <c r="A748" t="s">
        <v>8219</v>
      </c>
      <c r="B748">
        <v>97</v>
      </c>
    </row>
    <row r="749" spans="1:2" hidden="1" x14ac:dyDescent="0.2">
      <c r="A749" t="s">
        <v>8219</v>
      </c>
      <c r="B749">
        <v>55</v>
      </c>
    </row>
    <row r="750" spans="1:2" hidden="1" x14ac:dyDescent="0.2">
      <c r="A750" t="s">
        <v>8219</v>
      </c>
      <c r="B750">
        <v>44</v>
      </c>
    </row>
    <row r="751" spans="1:2" hidden="1" x14ac:dyDescent="0.2">
      <c r="A751" t="s">
        <v>8219</v>
      </c>
      <c r="B751">
        <v>110</v>
      </c>
    </row>
    <row r="752" spans="1:2" hidden="1" x14ac:dyDescent="0.2">
      <c r="A752" t="s">
        <v>8219</v>
      </c>
      <c r="B752">
        <v>59</v>
      </c>
    </row>
    <row r="753" spans="1:2" hidden="1" x14ac:dyDescent="0.2">
      <c r="A753" t="s">
        <v>8219</v>
      </c>
      <c r="B753">
        <v>62</v>
      </c>
    </row>
    <row r="754" spans="1:2" hidden="1" x14ac:dyDescent="0.2">
      <c r="A754" t="s">
        <v>8219</v>
      </c>
      <c r="B754">
        <v>105</v>
      </c>
    </row>
    <row r="755" spans="1:2" hidden="1" x14ac:dyDescent="0.2">
      <c r="A755" t="s">
        <v>8219</v>
      </c>
      <c r="B755">
        <v>26</v>
      </c>
    </row>
    <row r="756" spans="1:2" hidden="1" x14ac:dyDescent="0.2">
      <c r="A756" t="s">
        <v>8219</v>
      </c>
      <c r="B756">
        <v>49</v>
      </c>
    </row>
    <row r="757" spans="1:2" hidden="1" x14ac:dyDescent="0.2">
      <c r="A757" t="s">
        <v>8219</v>
      </c>
      <c r="B757">
        <v>68</v>
      </c>
    </row>
    <row r="758" spans="1:2" hidden="1" x14ac:dyDescent="0.2">
      <c r="A758" t="s">
        <v>8219</v>
      </c>
      <c r="B758">
        <v>22</v>
      </c>
    </row>
    <row r="759" spans="1:2" hidden="1" x14ac:dyDescent="0.2">
      <c r="A759" t="s">
        <v>8219</v>
      </c>
      <c r="B759">
        <v>18</v>
      </c>
    </row>
    <row r="760" spans="1:2" hidden="1" x14ac:dyDescent="0.2">
      <c r="A760" t="s">
        <v>8219</v>
      </c>
      <c r="B760">
        <v>19</v>
      </c>
    </row>
    <row r="761" spans="1:2" hidden="1" x14ac:dyDescent="0.2">
      <c r="A761" t="s">
        <v>8219</v>
      </c>
      <c r="B761">
        <v>99</v>
      </c>
    </row>
    <row r="762" spans="1:2" x14ac:dyDescent="0.2">
      <c r="A762" t="s">
        <v>8221</v>
      </c>
      <c r="B762">
        <v>16</v>
      </c>
    </row>
    <row r="763" spans="1:2" x14ac:dyDescent="0.2">
      <c r="A763" t="s">
        <v>8221</v>
      </c>
      <c r="B763">
        <v>16</v>
      </c>
    </row>
    <row r="764" spans="1:2" x14ac:dyDescent="0.2">
      <c r="A764" t="s">
        <v>8221</v>
      </c>
      <c r="B764">
        <v>16</v>
      </c>
    </row>
    <row r="765" spans="1:2" x14ac:dyDescent="0.2">
      <c r="A765" t="s">
        <v>8221</v>
      </c>
      <c r="B765">
        <v>16</v>
      </c>
    </row>
    <row r="766" spans="1:2" x14ac:dyDescent="0.2">
      <c r="A766" t="s">
        <v>8221</v>
      </c>
      <c r="B766">
        <v>16</v>
      </c>
    </row>
    <row r="767" spans="1:2" x14ac:dyDescent="0.2">
      <c r="A767" t="s">
        <v>8221</v>
      </c>
      <c r="B767">
        <v>16</v>
      </c>
    </row>
    <row r="768" spans="1:2" x14ac:dyDescent="0.2">
      <c r="A768" t="s">
        <v>8221</v>
      </c>
      <c r="B768">
        <v>16</v>
      </c>
    </row>
    <row r="769" spans="1:2" x14ac:dyDescent="0.2">
      <c r="A769" t="s">
        <v>8221</v>
      </c>
      <c r="B769">
        <v>16</v>
      </c>
    </row>
    <row r="770" spans="1:2" x14ac:dyDescent="0.2">
      <c r="A770" t="s">
        <v>8221</v>
      </c>
      <c r="B770">
        <v>16</v>
      </c>
    </row>
    <row r="771" spans="1:2" x14ac:dyDescent="0.2">
      <c r="A771" t="s">
        <v>8221</v>
      </c>
      <c r="B771">
        <v>16</v>
      </c>
    </row>
    <row r="772" spans="1:2" x14ac:dyDescent="0.2">
      <c r="A772" t="s">
        <v>8221</v>
      </c>
      <c r="B772">
        <v>16</v>
      </c>
    </row>
    <row r="773" spans="1:2" x14ac:dyDescent="0.2">
      <c r="A773" t="s">
        <v>8221</v>
      </c>
      <c r="B773">
        <v>16</v>
      </c>
    </row>
    <row r="774" spans="1:2" x14ac:dyDescent="0.2">
      <c r="A774" t="s">
        <v>8221</v>
      </c>
      <c r="B774">
        <v>16</v>
      </c>
    </row>
    <row r="775" spans="1:2" x14ac:dyDescent="0.2">
      <c r="A775" t="s">
        <v>8221</v>
      </c>
      <c r="B775">
        <v>16</v>
      </c>
    </row>
    <row r="776" spans="1:2" x14ac:dyDescent="0.2">
      <c r="A776" t="s">
        <v>8221</v>
      </c>
      <c r="B776">
        <v>16</v>
      </c>
    </row>
    <row r="777" spans="1:2" x14ac:dyDescent="0.2">
      <c r="A777" t="s">
        <v>8221</v>
      </c>
      <c r="B777">
        <v>15</v>
      </c>
    </row>
    <row r="778" spans="1:2" x14ac:dyDescent="0.2">
      <c r="A778" t="s">
        <v>8221</v>
      </c>
      <c r="B778">
        <v>15</v>
      </c>
    </row>
    <row r="779" spans="1:2" x14ac:dyDescent="0.2">
      <c r="A779" t="s">
        <v>8221</v>
      </c>
      <c r="B779">
        <v>15</v>
      </c>
    </row>
    <row r="780" spans="1:2" x14ac:dyDescent="0.2">
      <c r="A780" t="s">
        <v>8221</v>
      </c>
      <c r="B780">
        <v>15</v>
      </c>
    </row>
    <row r="781" spans="1:2" x14ac:dyDescent="0.2">
      <c r="A781" t="s">
        <v>8221</v>
      </c>
      <c r="B781">
        <v>15</v>
      </c>
    </row>
    <row r="782" spans="1:2" hidden="1" x14ac:dyDescent="0.2">
      <c r="A782" t="s">
        <v>8219</v>
      </c>
      <c r="B782">
        <v>27</v>
      </c>
    </row>
    <row r="783" spans="1:2" hidden="1" x14ac:dyDescent="0.2">
      <c r="A783" t="s">
        <v>8219</v>
      </c>
      <c r="B783">
        <v>25</v>
      </c>
    </row>
    <row r="784" spans="1:2" hidden="1" x14ac:dyDescent="0.2">
      <c r="A784" t="s">
        <v>8219</v>
      </c>
      <c r="B784">
        <v>14</v>
      </c>
    </row>
    <row r="785" spans="1:2" hidden="1" x14ac:dyDescent="0.2">
      <c r="A785" t="s">
        <v>8219</v>
      </c>
      <c r="B785">
        <v>35</v>
      </c>
    </row>
    <row r="786" spans="1:2" hidden="1" x14ac:dyDescent="0.2">
      <c r="A786" t="s">
        <v>8219</v>
      </c>
      <c r="B786">
        <v>10</v>
      </c>
    </row>
    <row r="787" spans="1:2" hidden="1" x14ac:dyDescent="0.2">
      <c r="A787" t="s">
        <v>8219</v>
      </c>
      <c r="B787">
        <v>29</v>
      </c>
    </row>
    <row r="788" spans="1:2" hidden="1" x14ac:dyDescent="0.2">
      <c r="A788" t="s">
        <v>8219</v>
      </c>
      <c r="B788">
        <v>44</v>
      </c>
    </row>
    <row r="789" spans="1:2" hidden="1" x14ac:dyDescent="0.2">
      <c r="A789" t="s">
        <v>8219</v>
      </c>
      <c r="B789">
        <v>17</v>
      </c>
    </row>
    <row r="790" spans="1:2" hidden="1" x14ac:dyDescent="0.2">
      <c r="A790" t="s">
        <v>8219</v>
      </c>
      <c r="B790">
        <v>34</v>
      </c>
    </row>
    <row r="791" spans="1:2" hidden="1" x14ac:dyDescent="0.2">
      <c r="A791" t="s">
        <v>8219</v>
      </c>
      <c r="B791">
        <v>14</v>
      </c>
    </row>
    <row r="792" spans="1:2" hidden="1" x14ac:dyDescent="0.2">
      <c r="A792" t="s">
        <v>8219</v>
      </c>
      <c r="B792">
        <v>156</v>
      </c>
    </row>
    <row r="793" spans="1:2" hidden="1" x14ac:dyDescent="0.2">
      <c r="A793" t="s">
        <v>8219</v>
      </c>
      <c r="B793">
        <v>128</v>
      </c>
    </row>
    <row r="794" spans="1:2" hidden="1" x14ac:dyDescent="0.2">
      <c r="A794" t="s">
        <v>8219</v>
      </c>
      <c r="B794">
        <v>60</v>
      </c>
    </row>
    <row r="795" spans="1:2" hidden="1" x14ac:dyDescent="0.2">
      <c r="A795" t="s">
        <v>8219</v>
      </c>
      <c r="B795">
        <v>32</v>
      </c>
    </row>
    <row r="796" spans="1:2" hidden="1" x14ac:dyDescent="0.2">
      <c r="A796" t="s">
        <v>8219</v>
      </c>
      <c r="B796">
        <v>53</v>
      </c>
    </row>
    <row r="797" spans="1:2" hidden="1" x14ac:dyDescent="0.2">
      <c r="A797" t="s">
        <v>8219</v>
      </c>
      <c r="B797">
        <v>184</v>
      </c>
    </row>
    <row r="798" spans="1:2" hidden="1" x14ac:dyDescent="0.2">
      <c r="A798" t="s">
        <v>8219</v>
      </c>
      <c r="B798">
        <v>90</v>
      </c>
    </row>
    <row r="799" spans="1:2" hidden="1" x14ac:dyDescent="0.2">
      <c r="A799" t="s">
        <v>8219</v>
      </c>
      <c r="B799">
        <v>71</v>
      </c>
    </row>
    <row r="800" spans="1:2" hidden="1" x14ac:dyDescent="0.2">
      <c r="A800" t="s">
        <v>8219</v>
      </c>
      <c r="B800">
        <v>87</v>
      </c>
    </row>
    <row r="801" spans="1:2" hidden="1" x14ac:dyDescent="0.2">
      <c r="A801" t="s">
        <v>8219</v>
      </c>
      <c r="B801">
        <v>28</v>
      </c>
    </row>
    <row r="802" spans="1:2" hidden="1" x14ac:dyDescent="0.2">
      <c r="A802" t="s">
        <v>8219</v>
      </c>
      <c r="B802">
        <v>56</v>
      </c>
    </row>
    <row r="803" spans="1:2" hidden="1" x14ac:dyDescent="0.2">
      <c r="A803" t="s">
        <v>8219</v>
      </c>
      <c r="B803">
        <v>51</v>
      </c>
    </row>
    <row r="804" spans="1:2" hidden="1" x14ac:dyDescent="0.2">
      <c r="A804" t="s">
        <v>8219</v>
      </c>
      <c r="B804">
        <v>75</v>
      </c>
    </row>
    <row r="805" spans="1:2" hidden="1" x14ac:dyDescent="0.2">
      <c r="A805" t="s">
        <v>8219</v>
      </c>
      <c r="B805">
        <v>38</v>
      </c>
    </row>
    <row r="806" spans="1:2" hidden="1" x14ac:dyDescent="0.2">
      <c r="A806" t="s">
        <v>8219</v>
      </c>
      <c r="B806">
        <v>18</v>
      </c>
    </row>
    <row r="807" spans="1:2" hidden="1" x14ac:dyDescent="0.2">
      <c r="A807" t="s">
        <v>8219</v>
      </c>
      <c r="B807">
        <v>54</v>
      </c>
    </row>
    <row r="808" spans="1:2" hidden="1" x14ac:dyDescent="0.2">
      <c r="A808" t="s">
        <v>8219</v>
      </c>
      <c r="B808">
        <v>71</v>
      </c>
    </row>
    <row r="809" spans="1:2" hidden="1" x14ac:dyDescent="0.2">
      <c r="A809" t="s">
        <v>8219</v>
      </c>
      <c r="B809">
        <v>57</v>
      </c>
    </row>
    <row r="810" spans="1:2" hidden="1" x14ac:dyDescent="0.2">
      <c r="A810" t="s">
        <v>8219</v>
      </c>
      <c r="B810">
        <v>43</v>
      </c>
    </row>
    <row r="811" spans="1:2" hidden="1" x14ac:dyDescent="0.2">
      <c r="A811" t="s">
        <v>8219</v>
      </c>
      <c r="B811">
        <v>52</v>
      </c>
    </row>
    <row r="812" spans="1:2" hidden="1" x14ac:dyDescent="0.2">
      <c r="A812" t="s">
        <v>8219</v>
      </c>
      <c r="B812">
        <v>27</v>
      </c>
    </row>
    <row r="813" spans="1:2" hidden="1" x14ac:dyDescent="0.2">
      <c r="A813" t="s">
        <v>8219</v>
      </c>
      <c r="B813">
        <v>12</v>
      </c>
    </row>
    <row r="814" spans="1:2" hidden="1" x14ac:dyDescent="0.2">
      <c r="A814" t="s">
        <v>8219</v>
      </c>
      <c r="B814">
        <v>33</v>
      </c>
    </row>
    <row r="815" spans="1:2" hidden="1" x14ac:dyDescent="0.2">
      <c r="A815" t="s">
        <v>8219</v>
      </c>
      <c r="B815">
        <v>96</v>
      </c>
    </row>
    <row r="816" spans="1:2" hidden="1" x14ac:dyDescent="0.2">
      <c r="A816" t="s">
        <v>8219</v>
      </c>
      <c r="B816">
        <v>28</v>
      </c>
    </row>
    <row r="817" spans="1:2" hidden="1" x14ac:dyDescent="0.2">
      <c r="A817" t="s">
        <v>8219</v>
      </c>
      <c r="B817">
        <v>43</v>
      </c>
    </row>
    <row r="818" spans="1:2" hidden="1" x14ac:dyDescent="0.2">
      <c r="A818" t="s">
        <v>8219</v>
      </c>
      <c r="B818">
        <v>205</v>
      </c>
    </row>
    <row r="819" spans="1:2" hidden="1" x14ac:dyDescent="0.2">
      <c r="A819" t="s">
        <v>8219</v>
      </c>
      <c r="B819">
        <v>23</v>
      </c>
    </row>
    <row r="820" spans="1:2" hidden="1" x14ac:dyDescent="0.2">
      <c r="A820" t="s">
        <v>8219</v>
      </c>
      <c r="B820">
        <v>19</v>
      </c>
    </row>
    <row r="821" spans="1:2" hidden="1" x14ac:dyDescent="0.2">
      <c r="A821" t="s">
        <v>8219</v>
      </c>
      <c r="B821">
        <v>14</v>
      </c>
    </row>
    <row r="822" spans="1:2" hidden="1" x14ac:dyDescent="0.2">
      <c r="A822" t="s">
        <v>8219</v>
      </c>
      <c r="B822">
        <v>38</v>
      </c>
    </row>
    <row r="823" spans="1:2" hidden="1" x14ac:dyDescent="0.2">
      <c r="A823" t="s">
        <v>8219</v>
      </c>
      <c r="B823">
        <v>78</v>
      </c>
    </row>
    <row r="824" spans="1:2" hidden="1" x14ac:dyDescent="0.2">
      <c r="A824" t="s">
        <v>8219</v>
      </c>
      <c r="B824">
        <v>69</v>
      </c>
    </row>
    <row r="825" spans="1:2" hidden="1" x14ac:dyDescent="0.2">
      <c r="A825" t="s">
        <v>8219</v>
      </c>
      <c r="B825">
        <v>33</v>
      </c>
    </row>
    <row r="826" spans="1:2" hidden="1" x14ac:dyDescent="0.2">
      <c r="A826" t="s">
        <v>8219</v>
      </c>
      <c r="B826">
        <v>54</v>
      </c>
    </row>
    <row r="827" spans="1:2" hidden="1" x14ac:dyDescent="0.2">
      <c r="A827" t="s">
        <v>8219</v>
      </c>
      <c r="B827">
        <v>99</v>
      </c>
    </row>
    <row r="828" spans="1:2" hidden="1" x14ac:dyDescent="0.2">
      <c r="A828" t="s">
        <v>8219</v>
      </c>
      <c r="B828">
        <v>49</v>
      </c>
    </row>
    <row r="829" spans="1:2" hidden="1" x14ac:dyDescent="0.2">
      <c r="A829" t="s">
        <v>8219</v>
      </c>
      <c r="B829">
        <v>11</v>
      </c>
    </row>
    <row r="830" spans="1:2" hidden="1" x14ac:dyDescent="0.2">
      <c r="A830" t="s">
        <v>8219</v>
      </c>
      <c r="B830">
        <v>38</v>
      </c>
    </row>
    <row r="831" spans="1:2" hidden="1" x14ac:dyDescent="0.2">
      <c r="A831" t="s">
        <v>8219</v>
      </c>
      <c r="B831">
        <v>16</v>
      </c>
    </row>
    <row r="832" spans="1:2" hidden="1" x14ac:dyDescent="0.2">
      <c r="A832" t="s">
        <v>8219</v>
      </c>
      <c r="B832">
        <v>32</v>
      </c>
    </row>
    <row r="833" spans="1:2" hidden="1" x14ac:dyDescent="0.2">
      <c r="A833" t="s">
        <v>8219</v>
      </c>
      <c r="B833">
        <v>20</v>
      </c>
    </row>
    <row r="834" spans="1:2" hidden="1" x14ac:dyDescent="0.2">
      <c r="A834" t="s">
        <v>8219</v>
      </c>
      <c r="B834">
        <v>154</v>
      </c>
    </row>
    <row r="835" spans="1:2" hidden="1" x14ac:dyDescent="0.2">
      <c r="A835" t="s">
        <v>8219</v>
      </c>
      <c r="B835">
        <v>41</v>
      </c>
    </row>
    <row r="836" spans="1:2" hidden="1" x14ac:dyDescent="0.2">
      <c r="A836" t="s">
        <v>8219</v>
      </c>
      <c r="B836">
        <v>75</v>
      </c>
    </row>
    <row r="837" spans="1:2" hidden="1" x14ac:dyDescent="0.2">
      <c r="A837" t="s">
        <v>8219</v>
      </c>
      <c r="B837">
        <v>40</v>
      </c>
    </row>
    <row r="838" spans="1:2" hidden="1" x14ac:dyDescent="0.2">
      <c r="A838" t="s">
        <v>8219</v>
      </c>
      <c r="B838">
        <v>46</v>
      </c>
    </row>
    <row r="839" spans="1:2" hidden="1" x14ac:dyDescent="0.2">
      <c r="A839" t="s">
        <v>8219</v>
      </c>
      <c r="B839">
        <v>62</v>
      </c>
    </row>
    <row r="840" spans="1:2" hidden="1" x14ac:dyDescent="0.2">
      <c r="A840" t="s">
        <v>8219</v>
      </c>
      <c r="B840">
        <v>61</v>
      </c>
    </row>
    <row r="841" spans="1:2" hidden="1" x14ac:dyDescent="0.2">
      <c r="A841" t="s">
        <v>8219</v>
      </c>
      <c r="B841">
        <v>96</v>
      </c>
    </row>
    <row r="842" spans="1:2" hidden="1" x14ac:dyDescent="0.2">
      <c r="A842" t="s">
        <v>8219</v>
      </c>
      <c r="B842">
        <v>190</v>
      </c>
    </row>
    <row r="843" spans="1:2" hidden="1" x14ac:dyDescent="0.2">
      <c r="A843" t="s">
        <v>8219</v>
      </c>
      <c r="B843">
        <v>94</v>
      </c>
    </row>
    <row r="844" spans="1:2" hidden="1" x14ac:dyDescent="0.2">
      <c r="A844" t="s">
        <v>8219</v>
      </c>
      <c r="B844">
        <v>39</v>
      </c>
    </row>
    <row r="845" spans="1:2" hidden="1" x14ac:dyDescent="0.2">
      <c r="A845" t="s">
        <v>8219</v>
      </c>
      <c r="B845">
        <v>127</v>
      </c>
    </row>
    <row r="846" spans="1:2" hidden="1" x14ac:dyDescent="0.2">
      <c r="A846" t="s">
        <v>8219</v>
      </c>
      <c r="B846">
        <v>159</v>
      </c>
    </row>
    <row r="847" spans="1:2" hidden="1" x14ac:dyDescent="0.2">
      <c r="A847" t="s">
        <v>8219</v>
      </c>
      <c r="B847">
        <v>177</v>
      </c>
    </row>
    <row r="848" spans="1:2" hidden="1" x14ac:dyDescent="0.2">
      <c r="A848" t="s">
        <v>8219</v>
      </c>
      <c r="B848">
        <v>47</v>
      </c>
    </row>
    <row r="849" spans="1:2" hidden="1" x14ac:dyDescent="0.2">
      <c r="A849" t="s">
        <v>8219</v>
      </c>
      <c r="B849">
        <v>1</v>
      </c>
    </row>
    <row r="850" spans="1:2" hidden="1" x14ac:dyDescent="0.2">
      <c r="A850" t="s">
        <v>8219</v>
      </c>
      <c r="B850">
        <v>16</v>
      </c>
    </row>
    <row r="851" spans="1:2" hidden="1" x14ac:dyDescent="0.2">
      <c r="A851" t="s">
        <v>8219</v>
      </c>
      <c r="B851">
        <v>115</v>
      </c>
    </row>
    <row r="852" spans="1:2" hidden="1" x14ac:dyDescent="0.2">
      <c r="A852" t="s">
        <v>8219</v>
      </c>
      <c r="B852">
        <v>133</v>
      </c>
    </row>
    <row r="853" spans="1:2" hidden="1" x14ac:dyDescent="0.2">
      <c r="A853" t="s">
        <v>8219</v>
      </c>
      <c r="B853">
        <v>70</v>
      </c>
    </row>
    <row r="854" spans="1:2" hidden="1" x14ac:dyDescent="0.2">
      <c r="A854" t="s">
        <v>8219</v>
      </c>
      <c r="B854">
        <v>62</v>
      </c>
    </row>
    <row r="855" spans="1:2" hidden="1" x14ac:dyDescent="0.2">
      <c r="A855" t="s">
        <v>8219</v>
      </c>
      <c r="B855">
        <v>10</v>
      </c>
    </row>
    <row r="856" spans="1:2" hidden="1" x14ac:dyDescent="0.2">
      <c r="A856" t="s">
        <v>8219</v>
      </c>
      <c r="B856">
        <v>499</v>
      </c>
    </row>
    <row r="857" spans="1:2" hidden="1" x14ac:dyDescent="0.2">
      <c r="A857" t="s">
        <v>8219</v>
      </c>
      <c r="B857">
        <v>47</v>
      </c>
    </row>
    <row r="858" spans="1:2" hidden="1" x14ac:dyDescent="0.2">
      <c r="A858" t="s">
        <v>8219</v>
      </c>
      <c r="B858">
        <v>28</v>
      </c>
    </row>
    <row r="859" spans="1:2" hidden="1" x14ac:dyDescent="0.2">
      <c r="A859" t="s">
        <v>8219</v>
      </c>
      <c r="B859">
        <v>24</v>
      </c>
    </row>
    <row r="860" spans="1:2" hidden="1" x14ac:dyDescent="0.2">
      <c r="A860" t="s">
        <v>8219</v>
      </c>
      <c r="B860">
        <v>76</v>
      </c>
    </row>
    <row r="861" spans="1:2" hidden="1" x14ac:dyDescent="0.2">
      <c r="A861" t="s">
        <v>8219</v>
      </c>
      <c r="B861">
        <v>98</v>
      </c>
    </row>
    <row r="862" spans="1:2" x14ac:dyDescent="0.2">
      <c r="A862" t="s">
        <v>8221</v>
      </c>
      <c r="B862">
        <v>15</v>
      </c>
    </row>
    <row r="863" spans="1:2" x14ac:dyDescent="0.2">
      <c r="A863" t="s">
        <v>8221</v>
      </c>
      <c r="B863">
        <v>15</v>
      </c>
    </row>
    <row r="864" spans="1:2" x14ac:dyDescent="0.2">
      <c r="A864" t="s">
        <v>8221</v>
      </c>
      <c r="B864">
        <v>15</v>
      </c>
    </row>
    <row r="865" spans="1:2" x14ac:dyDescent="0.2">
      <c r="A865" t="s">
        <v>8221</v>
      </c>
      <c r="B865">
        <v>15</v>
      </c>
    </row>
    <row r="866" spans="1:2" x14ac:dyDescent="0.2">
      <c r="A866" t="s">
        <v>8221</v>
      </c>
      <c r="B866">
        <v>15</v>
      </c>
    </row>
    <row r="867" spans="1:2" x14ac:dyDescent="0.2">
      <c r="A867" t="s">
        <v>8221</v>
      </c>
      <c r="B867">
        <v>15</v>
      </c>
    </row>
    <row r="868" spans="1:2" x14ac:dyDescent="0.2">
      <c r="A868" t="s">
        <v>8221</v>
      </c>
      <c r="B868">
        <v>15</v>
      </c>
    </row>
    <row r="869" spans="1:2" x14ac:dyDescent="0.2">
      <c r="A869" t="s">
        <v>8221</v>
      </c>
      <c r="B869">
        <v>15</v>
      </c>
    </row>
    <row r="870" spans="1:2" x14ac:dyDescent="0.2">
      <c r="A870" t="s">
        <v>8221</v>
      </c>
      <c r="B870">
        <v>14</v>
      </c>
    </row>
    <row r="871" spans="1:2" x14ac:dyDescent="0.2">
      <c r="A871" t="s">
        <v>8221</v>
      </c>
      <c r="B871">
        <v>14</v>
      </c>
    </row>
    <row r="872" spans="1:2" x14ac:dyDescent="0.2">
      <c r="A872" t="s">
        <v>8221</v>
      </c>
      <c r="B872">
        <v>14</v>
      </c>
    </row>
    <row r="873" spans="1:2" x14ac:dyDescent="0.2">
      <c r="A873" t="s">
        <v>8221</v>
      </c>
      <c r="B873">
        <v>14</v>
      </c>
    </row>
    <row r="874" spans="1:2" x14ac:dyDescent="0.2">
      <c r="A874" t="s">
        <v>8221</v>
      </c>
      <c r="B874">
        <v>14</v>
      </c>
    </row>
    <row r="875" spans="1:2" x14ac:dyDescent="0.2">
      <c r="A875" t="s">
        <v>8221</v>
      </c>
      <c r="B875">
        <v>14</v>
      </c>
    </row>
    <row r="876" spans="1:2" x14ac:dyDescent="0.2">
      <c r="A876" t="s">
        <v>8221</v>
      </c>
      <c r="B876">
        <v>14</v>
      </c>
    </row>
    <row r="877" spans="1:2" x14ac:dyDescent="0.2">
      <c r="A877" t="s">
        <v>8221</v>
      </c>
      <c r="B877">
        <v>14</v>
      </c>
    </row>
    <row r="878" spans="1:2" x14ac:dyDescent="0.2">
      <c r="A878" t="s">
        <v>8221</v>
      </c>
      <c r="B878">
        <v>14</v>
      </c>
    </row>
    <row r="879" spans="1:2" x14ac:dyDescent="0.2">
      <c r="A879" t="s">
        <v>8221</v>
      </c>
      <c r="B879">
        <v>14</v>
      </c>
    </row>
    <row r="880" spans="1:2" x14ac:dyDescent="0.2">
      <c r="A880" t="s">
        <v>8221</v>
      </c>
      <c r="B880">
        <v>14</v>
      </c>
    </row>
    <row r="881" spans="1:2" x14ac:dyDescent="0.2">
      <c r="A881" t="s">
        <v>8221</v>
      </c>
      <c r="B881">
        <v>14</v>
      </c>
    </row>
    <row r="882" spans="1:2" x14ac:dyDescent="0.2">
      <c r="A882" t="s">
        <v>8221</v>
      </c>
      <c r="B882">
        <v>14</v>
      </c>
    </row>
    <row r="883" spans="1:2" x14ac:dyDescent="0.2">
      <c r="A883" t="s">
        <v>8221</v>
      </c>
      <c r="B883">
        <v>14</v>
      </c>
    </row>
    <row r="884" spans="1:2" x14ac:dyDescent="0.2">
      <c r="A884" t="s">
        <v>8221</v>
      </c>
      <c r="B884">
        <v>14</v>
      </c>
    </row>
    <row r="885" spans="1:2" x14ac:dyDescent="0.2">
      <c r="A885" t="s">
        <v>8221</v>
      </c>
      <c r="B885">
        <v>14</v>
      </c>
    </row>
    <row r="886" spans="1:2" x14ac:dyDescent="0.2">
      <c r="A886" t="s">
        <v>8221</v>
      </c>
      <c r="B886">
        <v>14</v>
      </c>
    </row>
    <row r="887" spans="1:2" x14ac:dyDescent="0.2">
      <c r="A887" t="s">
        <v>8221</v>
      </c>
      <c r="B887">
        <v>14</v>
      </c>
    </row>
    <row r="888" spans="1:2" x14ac:dyDescent="0.2">
      <c r="A888" t="s">
        <v>8221</v>
      </c>
      <c r="B888">
        <v>14</v>
      </c>
    </row>
    <row r="889" spans="1:2" x14ac:dyDescent="0.2">
      <c r="A889" t="s">
        <v>8221</v>
      </c>
      <c r="B889">
        <v>14</v>
      </c>
    </row>
    <row r="890" spans="1:2" x14ac:dyDescent="0.2">
      <c r="A890" t="s">
        <v>8221</v>
      </c>
      <c r="B890">
        <v>14</v>
      </c>
    </row>
    <row r="891" spans="1:2" x14ac:dyDescent="0.2">
      <c r="A891" t="s">
        <v>8221</v>
      </c>
      <c r="B891">
        <v>13</v>
      </c>
    </row>
    <row r="892" spans="1:2" x14ac:dyDescent="0.2">
      <c r="A892" t="s">
        <v>8221</v>
      </c>
      <c r="B892">
        <v>13</v>
      </c>
    </row>
    <row r="893" spans="1:2" x14ac:dyDescent="0.2">
      <c r="A893" t="s">
        <v>8221</v>
      </c>
      <c r="B893">
        <v>13</v>
      </c>
    </row>
    <row r="894" spans="1:2" x14ac:dyDescent="0.2">
      <c r="A894" t="s">
        <v>8221</v>
      </c>
      <c r="B894">
        <v>13</v>
      </c>
    </row>
    <row r="895" spans="1:2" x14ac:dyDescent="0.2">
      <c r="A895" t="s">
        <v>8221</v>
      </c>
      <c r="B895">
        <v>13</v>
      </c>
    </row>
    <row r="896" spans="1:2" x14ac:dyDescent="0.2">
      <c r="A896" t="s">
        <v>8221</v>
      </c>
      <c r="B896">
        <v>13</v>
      </c>
    </row>
    <row r="897" spans="1:2" x14ac:dyDescent="0.2">
      <c r="A897" t="s">
        <v>8221</v>
      </c>
      <c r="B897">
        <v>13</v>
      </c>
    </row>
    <row r="898" spans="1:2" x14ac:dyDescent="0.2">
      <c r="A898" t="s">
        <v>8221</v>
      </c>
      <c r="B898">
        <v>13</v>
      </c>
    </row>
    <row r="899" spans="1:2" x14ac:dyDescent="0.2">
      <c r="A899" t="s">
        <v>8221</v>
      </c>
      <c r="B899">
        <v>13</v>
      </c>
    </row>
    <row r="900" spans="1:2" x14ac:dyDescent="0.2">
      <c r="A900" t="s">
        <v>8221</v>
      </c>
      <c r="B900">
        <v>13</v>
      </c>
    </row>
    <row r="901" spans="1:2" x14ac:dyDescent="0.2">
      <c r="A901" t="s">
        <v>8221</v>
      </c>
      <c r="B901">
        <v>13</v>
      </c>
    </row>
    <row r="902" spans="1:2" x14ac:dyDescent="0.2">
      <c r="A902" t="s">
        <v>8221</v>
      </c>
      <c r="B902">
        <v>13</v>
      </c>
    </row>
    <row r="903" spans="1:2" x14ac:dyDescent="0.2">
      <c r="A903" t="s">
        <v>8221</v>
      </c>
      <c r="B903">
        <v>13</v>
      </c>
    </row>
    <row r="904" spans="1:2" x14ac:dyDescent="0.2">
      <c r="A904" t="s">
        <v>8221</v>
      </c>
      <c r="B904">
        <v>13</v>
      </c>
    </row>
    <row r="905" spans="1:2" x14ac:dyDescent="0.2">
      <c r="A905" t="s">
        <v>8221</v>
      </c>
      <c r="B905">
        <v>13</v>
      </c>
    </row>
    <row r="906" spans="1:2" x14ac:dyDescent="0.2">
      <c r="A906" t="s">
        <v>8221</v>
      </c>
      <c r="B906">
        <v>13</v>
      </c>
    </row>
    <row r="907" spans="1:2" x14ac:dyDescent="0.2">
      <c r="A907" t="s">
        <v>8221</v>
      </c>
      <c r="B907">
        <v>13</v>
      </c>
    </row>
    <row r="908" spans="1:2" x14ac:dyDescent="0.2">
      <c r="A908" t="s">
        <v>8221</v>
      </c>
      <c r="B908">
        <v>13</v>
      </c>
    </row>
    <row r="909" spans="1:2" x14ac:dyDescent="0.2">
      <c r="A909" t="s">
        <v>8221</v>
      </c>
      <c r="B909">
        <v>13</v>
      </c>
    </row>
    <row r="910" spans="1:2" x14ac:dyDescent="0.2">
      <c r="A910" t="s">
        <v>8221</v>
      </c>
      <c r="B910">
        <v>13</v>
      </c>
    </row>
    <row r="911" spans="1:2" x14ac:dyDescent="0.2">
      <c r="A911" t="s">
        <v>8221</v>
      </c>
      <c r="B911">
        <v>13</v>
      </c>
    </row>
    <row r="912" spans="1:2" x14ac:dyDescent="0.2">
      <c r="A912" t="s">
        <v>8221</v>
      </c>
      <c r="B912">
        <v>13</v>
      </c>
    </row>
    <row r="913" spans="1:2" x14ac:dyDescent="0.2">
      <c r="A913" t="s">
        <v>8221</v>
      </c>
      <c r="B913">
        <v>12</v>
      </c>
    </row>
    <row r="914" spans="1:2" x14ac:dyDescent="0.2">
      <c r="A914" t="s">
        <v>8221</v>
      </c>
      <c r="B914">
        <v>12</v>
      </c>
    </row>
    <row r="915" spans="1:2" x14ac:dyDescent="0.2">
      <c r="A915" t="s">
        <v>8221</v>
      </c>
      <c r="B915">
        <v>12</v>
      </c>
    </row>
    <row r="916" spans="1:2" x14ac:dyDescent="0.2">
      <c r="A916" t="s">
        <v>8221</v>
      </c>
      <c r="B916">
        <v>12</v>
      </c>
    </row>
    <row r="917" spans="1:2" x14ac:dyDescent="0.2">
      <c r="A917" t="s">
        <v>8221</v>
      </c>
      <c r="B917">
        <v>12</v>
      </c>
    </row>
    <row r="918" spans="1:2" x14ac:dyDescent="0.2">
      <c r="A918" t="s">
        <v>8221</v>
      </c>
      <c r="B918">
        <v>12</v>
      </c>
    </row>
    <row r="919" spans="1:2" x14ac:dyDescent="0.2">
      <c r="A919" t="s">
        <v>8221</v>
      </c>
      <c r="B919">
        <v>12</v>
      </c>
    </row>
    <row r="920" spans="1:2" x14ac:dyDescent="0.2">
      <c r="A920" t="s">
        <v>8221</v>
      </c>
      <c r="B920">
        <v>12</v>
      </c>
    </row>
    <row r="921" spans="1:2" x14ac:dyDescent="0.2">
      <c r="A921" t="s">
        <v>8221</v>
      </c>
      <c r="B921">
        <v>12</v>
      </c>
    </row>
    <row r="922" spans="1:2" x14ac:dyDescent="0.2">
      <c r="A922" t="s">
        <v>8221</v>
      </c>
      <c r="B922">
        <v>12</v>
      </c>
    </row>
    <row r="923" spans="1:2" x14ac:dyDescent="0.2">
      <c r="A923" t="s">
        <v>8221</v>
      </c>
      <c r="B923">
        <v>12</v>
      </c>
    </row>
    <row r="924" spans="1:2" x14ac:dyDescent="0.2">
      <c r="A924" t="s">
        <v>8221</v>
      </c>
      <c r="B924">
        <v>12</v>
      </c>
    </row>
    <row r="925" spans="1:2" x14ac:dyDescent="0.2">
      <c r="A925" t="s">
        <v>8221</v>
      </c>
      <c r="B925">
        <v>12</v>
      </c>
    </row>
    <row r="926" spans="1:2" x14ac:dyDescent="0.2">
      <c r="A926" t="s">
        <v>8221</v>
      </c>
      <c r="B926">
        <v>12</v>
      </c>
    </row>
    <row r="927" spans="1:2" x14ac:dyDescent="0.2">
      <c r="A927" t="s">
        <v>8221</v>
      </c>
      <c r="B927">
        <v>12</v>
      </c>
    </row>
    <row r="928" spans="1:2" x14ac:dyDescent="0.2">
      <c r="A928" t="s">
        <v>8221</v>
      </c>
      <c r="B928">
        <v>12</v>
      </c>
    </row>
    <row r="929" spans="1:2" x14ac:dyDescent="0.2">
      <c r="A929" t="s">
        <v>8221</v>
      </c>
      <c r="B929">
        <v>12</v>
      </c>
    </row>
    <row r="930" spans="1:2" x14ac:dyDescent="0.2">
      <c r="A930" t="s">
        <v>8221</v>
      </c>
      <c r="B930">
        <v>12</v>
      </c>
    </row>
    <row r="931" spans="1:2" x14ac:dyDescent="0.2">
      <c r="A931" t="s">
        <v>8221</v>
      </c>
      <c r="B931">
        <v>12</v>
      </c>
    </row>
    <row r="932" spans="1:2" x14ac:dyDescent="0.2">
      <c r="A932" t="s">
        <v>8221</v>
      </c>
      <c r="B932">
        <v>12</v>
      </c>
    </row>
    <row r="933" spans="1:2" x14ac:dyDescent="0.2">
      <c r="A933" t="s">
        <v>8221</v>
      </c>
      <c r="B933">
        <v>12</v>
      </c>
    </row>
    <row r="934" spans="1:2" x14ac:dyDescent="0.2">
      <c r="A934" t="s">
        <v>8221</v>
      </c>
      <c r="B934">
        <v>12</v>
      </c>
    </row>
    <row r="935" spans="1:2" x14ac:dyDescent="0.2">
      <c r="A935" t="s">
        <v>8221</v>
      </c>
      <c r="B935">
        <v>12</v>
      </c>
    </row>
    <row r="936" spans="1:2" x14ac:dyDescent="0.2">
      <c r="A936" t="s">
        <v>8221</v>
      </c>
      <c r="B936">
        <v>12</v>
      </c>
    </row>
    <row r="937" spans="1:2" x14ac:dyDescent="0.2">
      <c r="A937" t="s">
        <v>8221</v>
      </c>
      <c r="B937">
        <v>12</v>
      </c>
    </row>
    <row r="938" spans="1:2" x14ac:dyDescent="0.2">
      <c r="A938" t="s">
        <v>8221</v>
      </c>
      <c r="B938">
        <v>12</v>
      </c>
    </row>
    <row r="939" spans="1:2" x14ac:dyDescent="0.2">
      <c r="A939" t="s">
        <v>8221</v>
      </c>
      <c r="B939">
        <v>12</v>
      </c>
    </row>
    <row r="940" spans="1:2" x14ac:dyDescent="0.2">
      <c r="A940" t="s">
        <v>8221</v>
      </c>
      <c r="B940">
        <v>12</v>
      </c>
    </row>
    <row r="941" spans="1:2" x14ac:dyDescent="0.2">
      <c r="A941" t="s">
        <v>8221</v>
      </c>
      <c r="B941">
        <v>12</v>
      </c>
    </row>
    <row r="942" spans="1:2" x14ac:dyDescent="0.2">
      <c r="A942" t="s">
        <v>8221</v>
      </c>
      <c r="B942">
        <v>12</v>
      </c>
    </row>
    <row r="943" spans="1:2" x14ac:dyDescent="0.2">
      <c r="A943" t="s">
        <v>8221</v>
      </c>
      <c r="B943">
        <v>12</v>
      </c>
    </row>
    <row r="944" spans="1:2" x14ac:dyDescent="0.2">
      <c r="A944" t="s">
        <v>8221</v>
      </c>
      <c r="B944">
        <v>11</v>
      </c>
    </row>
    <row r="945" spans="1:2" x14ac:dyDescent="0.2">
      <c r="A945" t="s">
        <v>8221</v>
      </c>
      <c r="B945">
        <v>11</v>
      </c>
    </row>
    <row r="946" spans="1:2" x14ac:dyDescent="0.2">
      <c r="A946" t="s">
        <v>8221</v>
      </c>
      <c r="B946">
        <v>11</v>
      </c>
    </row>
    <row r="947" spans="1:2" x14ac:dyDescent="0.2">
      <c r="A947" t="s">
        <v>8221</v>
      </c>
      <c r="B947">
        <v>11</v>
      </c>
    </row>
    <row r="948" spans="1:2" x14ac:dyDescent="0.2">
      <c r="A948" t="s">
        <v>8221</v>
      </c>
      <c r="B948">
        <v>11</v>
      </c>
    </row>
    <row r="949" spans="1:2" x14ac:dyDescent="0.2">
      <c r="A949" t="s">
        <v>8221</v>
      </c>
      <c r="B949">
        <v>11</v>
      </c>
    </row>
    <row r="950" spans="1:2" x14ac:dyDescent="0.2">
      <c r="A950" t="s">
        <v>8221</v>
      </c>
      <c r="B950">
        <v>11</v>
      </c>
    </row>
    <row r="951" spans="1:2" x14ac:dyDescent="0.2">
      <c r="A951" t="s">
        <v>8221</v>
      </c>
      <c r="B951">
        <v>11</v>
      </c>
    </row>
    <row r="952" spans="1:2" x14ac:dyDescent="0.2">
      <c r="A952" t="s">
        <v>8221</v>
      </c>
      <c r="B952">
        <v>11</v>
      </c>
    </row>
    <row r="953" spans="1:2" x14ac:dyDescent="0.2">
      <c r="A953" t="s">
        <v>8221</v>
      </c>
      <c r="B953">
        <v>11</v>
      </c>
    </row>
    <row r="954" spans="1:2" x14ac:dyDescent="0.2">
      <c r="A954" t="s">
        <v>8221</v>
      </c>
      <c r="B954">
        <v>11</v>
      </c>
    </row>
    <row r="955" spans="1:2" x14ac:dyDescent="0.2">
      <c r="A955" t="s">
        <v>8221</v>
      </c>
      <c r="B955">
        <v>11</v>
      </c>
    </row>
    <row r="956" spans="1:2" x14ac:dyDescent="0.2">
      <c r="A956" t="s">
        <v>8221</v>
      </c>
      <c r="B956">
        <v>11</v>
      </c>
    </row>
    <row r="957" spans="1:2" x14ac:dyDescent="0.2">
      <c r="A957" t="s">
        <v>8221</v>
      </c>
      <c r="B957">
        <v>11</v>
      </c>
    </row>
    <row r="958" spans="1:2" x14ac:dyDescent="0.2">
      <c r="A958" t="s">
        <v>8221</v>
      </c>
      <c r="B958">
        <v>11</v>
      </c>
    </row>
    <row r="959" spans="1:2" x14ac:dyDescent="0.2">
      <c r="A959" t="s">
        <v>8221</v>
      </c>
      <c r="B959">
        <v>11</v>
      </c>
    </row>
    <row r="960" spans="1:2" x14ac:dyDescent="0.2">
      <c r="A960" t="s">
        <v>8221</v>
      </c>
      <c r="B960">
        <v>11</v>
      </c>
    </row>
    <row r="961" spans="1:2" x14ac:dyDescent="0.2">
      <c r="A961" t="s">
        <v>8221</v>
      </c>
      <c r="B961">
        <v>11</v>
      </c>
    </row>
    <row r="962" spans="1:2" x14ac:dyDescent="0.2">
      <c r="A962" t="s">
        <v>8221</v>
      </c>
      <c r="B962">
        <v>11</v>
      </c>
    </row>
    <row r="963" spans="1:2" x14ac:dyDescent="0.2">
      <c r="A963" t="s">
        <v>8221</v>
      </c>
      <c r="B963">
        <v>11</v>
      </c>
    </row>
    <row r="964" spans="1:2" x14ac:dyDescent="0.2">
      <c r="A964" t="s">
        <v>8221</v>
      </c>
      <c r="B964">
        <v>10</v>
      </c>
    </row>
    <row r="965" spans="1:2" x14ac:dyDescent="0.2">
      <c r="A965" t="s">
        <v>8221</v>
      </c>
      <c r="B965">
        <v>10</v>
      </c>
    </row>
    <row r="966" spans="1:2" x14ac:dyDescent="0.2">
      <c r="A966" t="s">
        <v>8221</v>
      </c>
      <c r="B966">
        <v>10</v>
      </c>
    </row>
    <row r="967" spans="1:2" x14ac:dyDescent="0.2">
      <c r="A967" t="s">
        <v>8221</v>
      </c>
      <c r="B967">
        <v>10</v>
      </c>
    </row>
    <row r="968" spans="1:2" x14ac:dyDescent="0.2">
      <c r="A968" t="s">
        <v>8221</v>
      </c>
      <c r="B968">
        <v>10</v>
      </c>
    </row>
    <row r="969" spans="1:2" x14ac:dyDescent="0.2">
      <c r="A969" t="s">
        <v>8221</v>
      </c>
      <c r="B969">
        <v>10</v>
      </c>
    </row>
    <row r="970" spans="1:2" x14ac:dyDescent="0.2">
      <c r="A970" t="s">
        <v>8221</v>
      </c>
      <c r="B970">
        <v>10</v>
      </c>
    </row>
    <row r="971" spans="1:2" x14ac:dyDescent="0.2">
      <c r="A971" t="s">
        <v>8221</v>
      </c>
      <c r="B971">
        <v>10</v>
      </c>
    </row>
    <row r="972" spans="1:2" x14ac:dyDescent="0.2">
      <c r="A972" t="s">
        <v>8221</v>
      </c>
      <c r="B972">
        <v>10</v>
      </c>
    </row>
    <row r="973" spans="1:2" x14ac:dyDescent="0.2">
      <c r="A973" t="s">
        <v>8221</v>
      </c>
      <c r="B973">
        <v>10</v>
      </c>
    </row>
    <row r="974" spans="1:2" x14ac:dyDescent="0.2">
      <c r="A974" t="s">
        <v>8221</v>
      </c>
      <c r="B974">
        <v>10</v>
      </c>
    </row>
    <row r="975" spans="1:2" x14ac:dyDescent="0.2">
      <c r="A975" t="s">
        <v>8221</v>
      </c>
      <c r="B975">
        <v>10</v>
      </c>
    </row>
    <row r="976" spans="1:2" x14ac:dyDescent="0.2">
      <c r="A976" t="s">
        <v>8221</v>
      </c>
      <c r="B976">
        <v>10</v>
      </c>
    </row>
    <row r="977" spans="1:2" x14ac:dyDescent="0.2">
      <c r="A977" t="s">
        <v>8221</v>
      </c>
      <c r="B977">
        <v>10</v>
      </c>
    </row>
    <row r="978" spans="1:2" x14ac:dyDescent="0.2">
      <c r="A978" t="s">
        <v>8221</v>
      </c>
      <c r="B978">
        <v>10</v>
      </c>
    </row>
    <row r="979" spans="1:2" x14ac:dyDescent="0.2">
      <c r="A979" t="s">
        <v>8221</v>
      </c>
      <c r="B979">
        <v>10</v>
      </c>
    </row>
    <row r="980" spans="1:2" x14ac:dyDescent="0.2">
      <c r="A980" t="s">
        <v>8221</v>
      </c>
      <c r="B980">
        <v>10</v>
      </c>
    </row>
    <row r="981" spans="1:2" x14ac:dyDescent="0.2">
      <c r="A981" t="s">
        <v>8221</v>
      </c>
      <c r="B981">
        <v>10</v>
      </c>
    </row>
    <row r="982" spans="1:2" x14ac:dyDescent="0.2">
      <c r="A982" t="s">
        <v>8221</v>
      </c>
      <c r="B982">
        <v>10</v>
      </c>
    </row>
    <row r="983" spans="1:2" x14ac:dyDescent="0.2">
      <c r="A983" t="s">
        <v>8221</v>
      </c>
      <c r="B983">
        <v>10</v>
      </c>
    </row>
    <row r="984" spans="1:2" x14ac:dyDescent="0.2">
      <c r="A984" t="s">
        <v>8221</v>
      </c>
      <c r="B984">
        <v>10</v>
      </c>
    </row>
    <row r="985" spans="1:2" x14ac:dyDescent="0.2">
      <c r="A985" t="s">
        <v>8221</v>
      </c>
      <c r="B985">
        <v>10</v>
      </c>
    </row>
    <row r="986" spans="1:2" x14ac:dyDescent="0.2">
      <c r="A986" t="s">
        <v>8221</v>
      </c>
      <c r="B986">
        <v>10</v>
      </c>
    </row>
    <row r="987" spans="1:2" x14ac:dyDescent="0.2">
      <c r="A987" t="s">
        <v>8221</v>
      </c>
      <c r="B987">
        <v>10</v>
      </c>
    </row>
    <row r="988" spans="1:2" x14ac:dyDescent="0.2">
      <c r="A988" t="s">
        <v>8221</v>
      </c>
      <c r="B988">
        <v>10</v>
      </c>
    </row>
    <row r="989" spans="1:2" x14ac:dyDescent="0.2">
      <c r="A989" t="s">
        <v>8221</v>
      </c>
      <c r="B989">
        <v>10</v>
      </c>
    </row>
    <row r="990" spans="1:2" x14ac:dyDescent="0.2">
      <c r="A990" t="s">
        <v>8221</v>
      </c>
      <c r="B990">
        <v>10</v>
      </c>
    </row>
    <row r="991" spans="1:2" x14ac:dyDescent="0.2">
      <c r="A991" t="s">
        <v>8221</v>
      </c>
      <c r="B991">
        <v>9</v>
      </c>
    </row>
    <row r="992" spans="1:2" x14ac:dyDescent="0.2">
      <c r="A992" t="s">
        <v>8221</v>
      </c>
      <c r="B992">
        <v>9</v>
      </c>
    </row>
    <row r="993" spans="1:2" x14ac:dyDescent="0.2">
      <c r="A993" t="s">
        <v>8221</v>
      </c>
      <c r="B993">
        <v>9</v>
      </c>
    </row>
    <row r="994" spans="1:2" x14ac:dyDescent="0.2">
      <c r="A994" t="s">
        <v>8221</v>
      </c>
      <c r="B994">
        <v>9</v>
      </c>
    </row>
    <row r="995" spans="1:2" x14ac:dyDescent="0.2">
      <c r="A995" t="s">
        <v>8221</v>
      </c>
      <c r="B995">
        <v>9</v>
      </c>
    </row>
    <row r="996" spans="1:2" x14ac:dyDescent="0.2">
      <c r="A996" t="s">
        <v>8221</v>
      </c>
      <c r="B996">
        <v>9</v>
      </c>
    </row>
    <row r="997" spans="1:2" x14ac:dyDescent="0.2">
      <c r="A997" t="s">
        <v>8221</v>
      </c>
      <c r="B997">
        <v>9</v>
      </c>
    </row>
    <row r="998" spans="1:2" x14ac:dyDescent="0.2">
      <c r="A998" t="s">
        <v>8221</v>
      </c>
      <c r="B998">
        <v>9</v>
      </c>
    </row>
    <row r="999" spans="1:2" x14ac:dyDescent="0.2">
      <c r="A999" t="s">
        <v>8221</v>
      </c>
      <c r="B999">
        <v>9</v>
      </c>
    </row>
    <row r="1000" spans="1:2" x14ac:dyDescent="0.2">
      <c r="A1000" t="s">
        <v>8221</v>
      </c>
      <c r="B1000">
        <v>9</v>
      </c>
    </row>
    <row r="1001" spans="1:2" x14ac:dyDescent="0.2">
      <c r="A1001" t="s">
        <v>8221</v>
      </c>
      <c r="B1001">
        <v>9</v>
      </c>
    </row>
    <row r="1002" spans="1:2" hidden="1" x14ac:dyDescent="0.2">
      <c r="A1002" t="s">
        <v>8220</v>
      </c>
      <c r="B1002">
        <v>6</v>
      </c>
    </row>
    <row r="1003" spans="1:2" hidden="1" x14ac:dyDescent="0.2">
      <c r="A1003" t="s">
        <v>8220</v>
      </c>
      <c r="B1003">
        <v>4</v>
      </c>
    </row>
    <row r="1004" spans="1:2" hidden="1" x14ac:dyDescent="0.2">
      <c r="A1004" t="s">
        <v>8220</v>
      </c>
      <c r="B1004">
        <v>22</v>
      </c>
    </row>
    <row r="1005" spans="1:2" hidden="1" x14ac:dyDescent="0.2">
      <c r="A1005" t="s">
        <v>8220</v>
      </c>
      <c r="B1005">
        <v>15</v>
      </c>
    </row>
    <row r="1006" spans="1:2" hidden="1" x14ac:dyDescent="0.2">
      <c r="A1006" t="s">
        <v>8220</v>
      </c>
      <c r="B1006">
        <v>95</v>
      </c>
    </row>
    <row r="1007" spans="1:2" hidden="1" x14ac:dyDescent="0.2">
      <c r="A1007" t="s">
        <v>8220</v>
      </c>
      <c r="B1007">
        <v>161</v>
      </c>
    </row>
    <row r="1008" spans="1:2" hidden="1" x14ac:dyDescent="0.2">
      <c r="A1008" t="s">
        <v>8220</v>
      </c>
      <c r="B1008">
        <v>8</v>
      </c>
    </row>
    <row r="1009" spans="1:2" hidden="1" x14ac:dyDescent="0.2">
      <c r="A1009" t="s">
        <v>8220</v>
      </c>
      <c r="B1009">
        <v>76</v>
      </c>
    </row>
    <row r="1010" spans="1:2" hidden="1" x14ac:dyDescent="0.2">
      <c r="A1010" t="s">
        <v>8220</v>
      </c>
      <c r="B1010">
        <v>1</v>
      </c>
    </row>
    <row r="1011" spans="1:2" hidden="1" x14ac:dyDescent="0.2">
      <c r="A1011" t="s">
        <v>8220</v>
      </c>
      <c r="B1011">
        <v>101</v>
      </c>
    </row>
    <row r="1012" spans="1:2" hidden="1" x14ac:dyDescent="0.2">
      <c r="A1012" t="s">
        <v>8220</v>
      </c>
      <c r="B1012">
        <v>4</v>
      </c>
    </row>
    <row r="1013" spans="1:2" hidden="1" x14ac:dyDescent="0.2">
      <c r="A1013" t="s">
        <v>8220</v>
      </c>
      <c r="B1013">
        <v>1</v>
      </c>
    </row>
    <row r="1014" spans="1:2" hidden="1" x14ac:dyDescent="0.2">
      <c r="A1014" t="s">
        <v>8220</v>
      </c>
      <c r="B1014">
        <v>775</v>
      </c>
    </row>
    <row r="1015" spans="1:2" hidden="1" x14ac:dyDescent="0.2">
      <c r="A1015" t="s">
        <v>8220</v>
      </c>
      <c r="B1015">
        <v>90</v>
      </c>
    </row>
    <row r="1016" spans="1:2" hidden="1" x14ac:dyDescent="0.2">
      <c r="A1016" t="s">
        <v>8220</v>
      </c>
      <c r="B1016">
        <v>16</v>
      </c>
    </row>
    <row r="1017" spans="1:2" hidden="1" x14ac:dyDescent="0.2">
      <c r="A1017" t="s">
        <v>8220</v>
      </c>
      <c r="B1017">
        <v>6</v>
      </c>
    </row>
    <row r="1018" spans="1:2" hidden="1" x14ac:dyDescent="0.2">
      <c r="A1018" t="s">
        <v>8220</v>
      </c>
      <c r="B1018">
        <v>38</v>
      </c>
    </row>
    <row r="1019" spans="1:2" hidden="1" x14ac:dyDescent="0.2">
      <c r="A1019" t="s">
        <v>8220</v>
      </c>
      <c r="B1019">
        <v>355</v>
      </c>
    </row>
    <row r="1020" spans="1:2" hidden="1" x14ac:dyDescent="0.2">
      <c r="A1020" t="s">
        <v>8220</v>
      </c>
      <c r="B1020">
        <v>7</v>
      </c>
    </row>
    <row r="1021" spans="1:2" hidden="1" x14ac:dyDescent="0.2">
      <c r="A1021" t="s">
        <v>8220</v>
      </c>
      <c r="B1021">
        <v>400</v>
      </c>
    </row>
    <row r="1022" spans="1:2" hidden="1" x14ac:dyDescent="0.2">
      <c r="A1022" t="s">
        <v>8219</v>
      </c>
      <c r="B1022">
        <v>30</v>
      </c>
    </row>
    <row r="1023" spans="1:2" hidden="1" x14ac:dyDescent="0.2">
      <c r="A1023" t="s">
        <v>8219</v>
      </c>
      <c r="B1023">
        <v>478</v>
      </c>
    </row>
    <row r="1024" spans="1:2" hidden="1" x14ac:dyDescent="0.2">
      <c r="A1024" t="s">
        <v>8219</v>
      </c>
      <c r="B1024">
        <v>74</v>
      </c>
    </row>
    <row r="1025" spans="1:2" hidden="1" x14ac:dyDescent="0.2">
      <c r="A1025" t="s">
        <v>8219</v>
      </c>
      <c r="B1025">
        <v>131</v>
      </c>
    </row>
    <row r="1026" spans="1:2" hidden="1" x14ac:dyDescent="0.2">
      <c r="A1026" t="s">
        <v>8219</v>
      </c>
      <c r="B1026">
        <v>61</v>
      </c>
    </row>
    <row r="1027" spans="1:2" hidden="1" x14ac:dyDescent="0.2">
      <c r="A1027" t="s">
        <v>8219</v>
      </c>
      <c r="B1027">
        <v>1071</v>
      </c>
    </row>
    <row r="1028" spans="1:2" hidden="1" x14ac:dyDescent="0.2">
      <c r="A1028" t="s">
        <v>8219</v>
      </c>
      <c r="B1028">
        <v>122</v>
      </c>
    </row>
    <row r="1029" spans="1:2" hidden="1" x14ac:dyDescent="0.2">
      <c r="A1029" t="s">
        <v>8219</v>
      </c>
      <c r="B1029">
        <v>111</v>
      </c>
    </row>
    <row r="1030" spans="1:2" hidden="1" x14ac:dyDescent="0.2">
      <c r="A1030" t="s">
        <v>8219</v>
      </c>
      <c r="B1030">
        <v>255</v>
      </c>
    </row>
    <row r="1031" spans="1:2" hidden="1" x14ac:dyDescent="0.2">
      <c r="A1031" t="s">
        <v>8219</v>
      </c>
      <c r="B1031">
        <v>141</v>
      </c>
    </row>
    <row r="1032" spans="1:2" hidden="1" x14ac:dyDescent="0.2">
      <c r="A1032" t="s">
        <v>8219</v>
      </c>
      <c r="B1032">
        <v>159</v>
      </c>
    </row>
    <row r="1033" spans="1:2" hidden="1" x14ac:dyDescent="0.2">
      <c r="A1033" t="s">
        <v>8219</v>
      </c>
      <c r="B1033">
        <v>99</v>
      </c>
    </row>
    <row r="1034" spans="1:2" hidden="1" x14ac:dyDescent="0.2">
      <c r="A1034" t="s">
        <v>8219</v>
      </c>
      <c r="B1034">
        <v>96</v>
      </c>
    </row>
    <row r="1035" spans="1:2" hidden="1" x14ac:dyDescent="0.2">
      <c r="A1035" t="s">
        <v>8219</v>
      </c>
      <c r="B1035">
        <v>27</v>
      </c>
    </row>
    <row r="1036" spans="1:2" hidden="1" x14ac:dyDescent="0.2">
      <c r="A1036" t="s">
        <v>8219</v>
      </c>
      <c r="B1036">
        <v>166</v>
      </c>
    </row>
    <row r="1037" spans="1:2" hidden="1" x14ac:dyDescent="0.2">
      <c r="A1037" t="s">
        <v>8219</v>
      </c>
      <c r="B1037">
        <v>76</v>
      </c>
    </row>
    <row r="1038" spans="1:2" hidden="1" x14ac:dyDescent="0.2">
      <c r="A1038" t="s">
        <v>8219</v>
      </c>
      <c r="B1038">
        <v>211</v>
      </c>
    </row>
    <row r="1039" spans="1:2" hidden="1" x14ac:dyDescent="0.2">
      <c r="A1039" t="s">
        <v>8219</v>
      </c>
      <c r="B1039">
        <v>21</v>
      </c>
    </row>
    <row r="1040" spans="1:2" hidden="1" x14ac:dyDescent="0.2">
      <c r="A1040" t="s">
        <v>8219</v>
      </c>
      <c r="B1040">
        <v>61</v>
      </c>
    </row>
    <row r="1041" spans="1:2" hidden="1" x14ac:dyDescent="0.2">
      <c r="A1041" t="s">
        <v>8219</v>
      </c>
      <c r="B1041">
        <v>30</v>
      </c>
    </row>
    <row r="1042" spans="1:2" hidden="1" x14ac:dyDescent="0.2">
      <c r="A1042" t="s">
        <v>8220</v>
      </c>
      <c r="B1042">
        <v>1</v>
      </c>
    </row>
    <row r="1043" spans="1:2" hidden="1" x14ac:dyDescent="0.2">
      <c r="A1043" t="s">
        <v>8220</v>
      </c>
      <c r="B1043">
        <v>0</v>
      </c>
    </row>
    <row r="1044" spans="1:2" hidden="1" x14ac:dyDescent="0.2">
      <c r="A1044" t="s">
        <v>8220</v>
      </c>
      <c r="B1044">
        <v>1</v>
      </c>
    </row>
    <row r="1045" spans="1:2" hidden="1" x14ac:dyDescent="0.2">
      <c r="A1045" t="s">
        <v>8220</v>
      </c>
      <c r="B1045">
        <v>292</v>
      </c>
    </row>
    <row r="1046" spans="1:2" hidden="1" x14ac:dyDescent="0.2">
      <c r="A1046" t="s">
        <v>8220</v>
      </c>
      <c r="B1046">
        <v>2</v>
      </c>
    </row>
    <row r="1047" spans="1:2" hidden="1" x14ac:dyDescent="0.2">
      <c r="A1047" t="s">
        <v>8220</v>
      </c>
      <c r="B1047">
        <v>8</v>
      </c>
    </row>
    <row r="1048" spans="1:2" hidden="1" x14ac:dyDescent="0.2">
      <c r="A1048" t="s">
        <v>8220</v>
      </c>
      <c r="B1048">
        <v>0</v>
      </c>
    </row>
    <row r="1049" spans="1:2" hidden="1" x14ac:dyDescent="0.2">
      <c r="A1049" t="s">
        <v>8220</v>
      </c>
      <c r="B1049">
        <v>1</v>
      </c>
    </row>
    <row r="1050" spans="1:2" hidden="1" x14ac:dyDescent="0.2">
      <c r="A1050" t="s">
        <v>8220</v>
      </c>
      <c r="B1050">
        <v>4</v>
      </c>
    </row>
    <row r="1051" spans="1:2" hidden="1" x14ac:dyDescent="0.2">
      <c r="A1051" t="s">
        <v>8220</v>
      </c>
      <c r="B1051">
        <v>0</v>
      </c>
    </row>
    <row r="1052" spans="1:2" hidden="1" x14ac:dyDescent="0.2">
      <c r="A1052" t="s">
        <v>8220</v>
      </c>
      <c r="B1052">
        <v>0</v>
      </c>
    </row>
    <row r="1053" spans="1:2" hidden="1" x14ac:dyDescent="0.2">
      <c r="A1053" t="s">
        <v>8220</v>
      </c>
      <c r="B1053">
        <v>0</v>
      </c>
    </row>
    <row r="1054" spans="1:2" hidden="1" x14ac:dyDescent="0.2">
      <c r="A1054" t="s">
        <v>8220</v>
      </c>
      <c r="B1054">
        <v>0</v>
      </c>
    </row>
    <row r="1055" spans="1:2" hidden="1" x14ac:dyDescent="0.2">
      <c r="A1055" t="s">
        <v>8220</v>
      </c>
      <c r="B1055">
        <v>1</v>
      </c>
    </row>
    <row r="1056" spans="1:2" hidden="1" x14ac:dyDescent="0.2">
      <c r="A1056" t="s">
        <v>8220</v>
      </c>
      <c r="B1056">
        <v>0</v>
      </c>
    </row>
    <row r="1057" spans="1:2" hidden="1" x14ac:dyDescent="0.2">
      <c r="A1057" t="s">
        <v>8220</v>
      </c>
      <c r="B1057">
        <v>0</v>
      </c>
    </row>
    <row r="1058" spans="1:2" hidden="1" x14ac:dyDescent="0.2">
      <c r="A1058" t="s">
        <v>8220</v>
      </c>
      <c r="B1058">
        <v>0</v>
      </c>
    </row>
    <row r="1059" spans="1:2" hidden="1" x14ac:dyDescent="0.2">
      <c r="A1059" t="s">
        <v>8220</v>
      </c>
      <c r="B1059">
        <v>0</v>
      </c>
    </row>
    <row r="1060" spans="1:2" hidden="1" x14ac:dyDescent="0.2">
      <c r="A1060" t="s">
        <v>8220</v>
      </c>
      <c r="B1060">
        <v>0</v>
      </c>
    </row>
    <row r="1061" spans="1:2" hidden="1" x14ac:dyDescent="0.2">
      <c r="A1061" t="s">
        <v>8220</v>
      </c>
      <c r="B1061">
        <v>0</v>
      </c>
    </row>
    <row r="1062" spans="1:2" hidden="1" x14ac:dyDescent="0.2">
      <c r="A1062" t="s">
        <v>8220</v>
      </c>
      <c r="B1062">
        <v>1</v>
      </c>
    </row>
    <row r="1063" spans="1:2" hidden="1" x14ac:dyDescent="0.2">
      <c r="A1063" t="s">
        <v>8220</v>
      </c>
      <c r="B1063">
        <v>0</v>
      </c>
    </row>
    <row r="1064" spans="1:2" hidden="1" x14ac:dyDescent="0.2">
      <c r="A1064" t="s">
        <v>8220</v>
      </c>
      <c r="B1064">
        <v>4</v>
      </c>
    </row>
    <row r="1065" spans="1:2" hidden="1" x14ac:dyDescent="0.2">
      <c r="A1065" t="s">
        <v>8220</v>
      </c>
      <c r="B1065">
        <v>0</v>
      </c>
    </row>
    <row r="1066" spans="1:2" x14ac:dyDescent="0.2">
      <c r="A1066" t="s">
        <v>8221</v>
      </c>
      <c r="B1066">
        <v>9</v>
      </c>
    </row>
    <row r="1067" spans="1:2" x14ac:dyDescent="0.2">
      <c r="A1067" t="s">
        <v>8221</v>
      </c>
      <c r="B1067">
        <v>9</v>
      </c>
    </row>
    <row r="1068" spans="1:2" x14ac:dyDescent="0.2">
      <c r="A1068" t="s">
        <v>8221</v>
      </c>
      <c r="B1068">
        <v>9</v>
      </c>
    </row>
    <row r="1069" spans="1:2" x14ac:dyDescent="0.2">
      <c r="A1069" t="s">
        <v>8221</v>
      </c>
      <c r="B1069">
        <v>9</v>
      </c>
    </row>
    <row r="1070" spans="1:2" x14ac:dyDescent="0.2">
      <c r="A1070" t="s">
        <v>8221</v>
      </c>
      <c r="B1070">
        <v>9</v>
      </c>
    </row>
    <row r="1071" spans="1:2" x14ac:dyDescent="0.2">
      <c r="A1071" t="s">
        <v>8221</v>
      </c>
      <c r="B1071">
        <v>9</v>
      </c>
    </row>
    <row r="1072" spans="1:2" x14ac:dyDescent="0.2">
      <c r="A1072" t="s">
        <v>8221</v>
      </c>
      <c r="B1072">
        <v>9</v>
      </c>
    </row>
    <row r="1073" spans="1:2" x14ac:dyDescent="0.2">
      <c r="A1073" t="s">
        <v>8221</v>
      </c>
      <c r="B1073">
        <v>9</v>
      </c>
    </row>
    <row r="1074" spans="1:2" x14ac:dyDescent="0.2">
      <c r="A1074" t="s">
        <v>8221</v>
      </c>
      <c r="B1074">
        <v>9</v>
      </c>
    </row>
    <row r="1075" spans="1:2" x14ac:dyDescent="0.2">
      <c r="A1075" t="s">
        <v>8221</v>
      </c>
      <c r="B1075">
        <v>9</v>
      </c>
    </row>
    <row r="1076" spans="1:2" x14ac:dyDescent="0.2">
      <c r="A1076" t="s">
        <v>8221</v>
      </c>
      <c r="B1076">
        <v>9</v>
      </c>
    </row>
    <row r="1077" spans="1:2" x14ac:dyDescent="0.2">
      <c r="A1077" t="s">
        <v>8221</v>
      </c>
      <c r="B1077">
        <v>9</v>
      </c>
    </row>
    <row r="1078" spans="1:2" x14ac:dyDescent="0.2">
      <c r="A1078" t="s">
        <v>8221</v>
      </c>
      <c r="B1078">
        <v>9</v>
      </c>
    </row>
    <row r="1079" spans="1:2" x14ac:dyDescent="0.2">
      <c r="A1079" t="s">
        <v>8221</v>
      </c>
      <c r="B1079">
        <v>9</v>
      </c>
    </row>
    <row r="1080" spans="1:2" x14ac:dyDescent="0.2">
      <c r="A1080" t="s">
        <v>8221</v>
      </c>
      <c r="B1080">
        <v>9</v>
      </c>
    </row>
    <row r="1081" spans="1:2" x14ac:dyDescent="0.2">
      <c r="A1081" t="s">
        <v>8221</v>
      </c>
      <c r="B1081">
        <v>9</v>
      </c>
    </row>
    <row r="1082" spans="1:2" x14ac:dyDescent="0.2">
      <c r="A1082" t="s">
        <v>8221</v>
      </c>
      <c r="B1082">
        <v>9</v>
      </c>
    </row>
    <row r="1083" spans="1:2" x14ac:dyDescent="0.2">
      <c r="A1083" t="s">
        <v>8221</v>
      </c>
      <c r="B1083">
        <v>9</v>
      </c>
    </row>
    <row r="1084" spans="1:2" x14ac:dyDescent="0.2">
      <c r="A1084" t="s">
        <v>8221</v>
      </c>
      <c r="B1084">
        <v>9</v>
      </c>
    </row>
    <row r="1085" spans="1:2" x14ac:dyDescent="0.2">
      <c r="A1085" t="s">
        <v>8221</v>
      </c>
      <c r="B1085">
        <v>9</v>
      </c>
    </row>
    <row r="1086" spans="1:2" x14ac:dyDescent="0.2">
      <c r="A1086" t="s">
        <v>8221</v>
      </c>
      <c r="B1086">
        <v>9</v>
      </c>
    </row>
    <row r="1087" spans="1:2" x14ac:dyDescent="0.2">
      <c r="A1087" t="s">
        <v>8221</v>
      </c>
      <c r="B1087">
        <v>9</v>
      </c>
    </row>
    <row r="1088" spans="1:2" x14ac:dyDescent="0.2">
      <c r="A1088" t="s">
        <v>8221</v>
      </c>
      <c r="B1088">
        <v>9</v>
      </c>
    </row>
    <row r="1089" spans="1:2" x14ac:dyDescent="0.2">
      <c r="A1089" t="s">
        <v>8221</v>
      </c>
      <c r="B1089">
        <v>9</v>
      </c>
    </row>
    <row r="1090" spans="1:2" x14ac:dyDescent="0.2">
      <c r="A1090" t="s">
        <v>8221</v>
      </c>
      <c r="B1090">
        <v>9</v>
      </c>
    </row>
    <row r="1091" spans="1:2" x14ac:dyDescent="0.2">
      <c r="A1091" t="s">
        <v>8221</v>
      </c>
      <c r="B1091">
        <v>8</v>
      </c>
    </row>
    <row r="1092" spans="1:2" x14ac:dyDescent="0.2">
      <c r="A1092" t="s">
        <v>8221</v>
      </c>
      <c r="B1092">
        <v>8</v>
      </c>
    </row>
    <row r="1093" spans="1:2" x14ac:dyDescent="0.2">
      <c r="A1093" t="s">
        <v>8221</v>
      </c>
      <c r="B1093">
        <v>8</v>
      </c>
    </row>
    <row r="1094" spans="1:2" x14ac:dyDescent="0.2">
      <c r="A1094" t="s">
        <v>8221</v>
      </c>
      <c r="B1094">
        <v>8</v>
      </c>
    </row>
    <row r="1095" spans="1:2" x14ac:dyDescent="0.2">
      <c r="A1095" t="s">
        <v>8221</v>
      </c>
      <c r="B1095">
        <v>8</v>
      </c>
    </row>
    <row r="1096" spans="1:2" x14ac:dyDescent="0.2">
      <c r="A1096" t="s">
        <v>8221</v>
      </c>
      <c r="B1096">
        <v>8</v>
      </c>
    </row>
    <row r="1097" spans="1:2" x14ac:dyDescent="0.2">
      <c r="A1097" t="s">
        <v>8221</v>
      </c>
      <c r="B1097">
        <v>8</v>
      </c>
    </row>
    <row r="1098" spans="1:2" x14ac:dyDescent="0.2">
      <c r="A1098" t="s">
        <v>8221</v>
      </c>
      <c r="B1098">
        <v>8</v>
      </c>
    </row>
    <row r="1099" spans="1:2" x14ac:dyDescent="0.2">
      <c r="A1099" t="s">
        <v>8221</v>
      </c>
      <c r="B1099">
        <v>8</v>
      </c>
    </row>
    <row r="1100" spans="1:2" x14ac:dyDescent="0.2">
      <c r="A1100" t="s">
        <v>8221</v>
      </c>
      <c r="B1100">
        <v>8</v>
      </c>
    </row>
    <row r="1101" spans="1:2" x14ac:dyDescent="0.2">
      <c r="A1101" t="s">
        <v>8221</v>
      </c>
      <c r="B1101">
        <v>8</v>
      </c>
    </row>
    <row r="1102" spans="1:2" x14ac:dyDescent="0.2">
      <c r="A1102" t="s">
        <v>8221</v>
      </c>
      <c r="B1102">
        <v>8</v>
      </c>
    </row>
    <row r="1103" spans="1:2" x14ac:dyDescent="0.2">
      <c r="A1103" t="s">
        <v>8221</v>
      </c>
      <c r="B1103">
        <v>8</v>
      </c>
    </row>
    <row r="1104" spans="1:2" x14ac:dyDescent="0.2">
      <c r="A1104" t="s">
        <v>8221</v>
      </c>
      <c r="B1104">
        <v>8</v>
      </c>
    </row>
    <row r="1105" spans="1:2" x14ac:dyDescent="0.2">
      <c r="A1105" t="s">
        <v>8221</v>
      </c>
      <c r="B1105">
        <v>8</v>
      </c>
    </row>
    <row r="1106" spans="1:2" x14ac:dyDescent="0.2">
      <c r="A1106" t="s">
        <v>8221</v>
      </c>
      <c r="B1106">
        <v>8</v>
      </c>
    </row>
    <row r="1107" spans="1:2" x14ac:dyDescent="0.2">
      <c r="A1107" t="s">
        <v>8221</v>
      </c>
      <c r="B1107">
        <v>8</v>
      </c>
    </row>
    <row r="1108" spans="1:2" x14ac:dyDescent="0.2">
      <c r="A1108" t="s">
        <v>8221</v>
      </c>
      <c r="B1108">
        <v>8</v>
      </c>
    </row>
    <row r="1109" spans="1:2" x14ac:dyDescent="0.2">
      <c r="A1109" t="s">
        <v>8221</v>
      </c>
      <c r="B1109">
        <v>8</v>
      </c>
    </row>
    <row r="1110" spans="1:2" x14ac:dyDescent="0.2">
      <c r="A1110" t="s">
        <v>8221</v>
      </c>
      <c r="B1110">
        <v>8</v>
      </c>
    </row>
    <row r="1111" spans="1:2" x14ac:dyDescent="0.2">
      <c r="A1111" t="s">
        <v>8221</v>
      </c>
      <c r="B1111">
        <v>8</v>
      </c>
    </row>
    <row r="1112" spans="1:2" x14ac:dyDescent="0.2">
      <c r="A1112" t="s">
        <v>8221</v>
      </c>
      <c r="B1112">
        <v>8</v>
      </c>
    </row>
    <row r="1113" spans="1:2" x14ac:dyDescent="0.2">
      <c r="A1113" t="s">
        <v>8221</v>
      </c>
      <c r="B1113">
        <v>8</v>
      </c>
    </row>
    <row r="1114" spans="1:2" x14ac:dyDescent="0.2">
      <c r="A1114" t="s">
        <v>8221</v>
      </c>
      <c r="B1114">
        <v>8</v>
      </c>
    </row>
    <row r="1115" spans="1:2" x14ac:dyDescent="0.2">
      <c r="A1115" t="s">
        <v>8221</v>
      </c>
      <c r="B1115">
        <v>8</v>
      </c>
    </row>
    <row r="1116" spans="1:2" x14ac:dyDescent="0.2">
      <c r="A1116" t="s">
        <v>8221</v>
      </c>
      <c r="B1116">
        <v>8</v>
      </c>
    </row>
    <row r="1117" spans="1:2" x14ac:dyDescent="0.2">
      <c r="A1117" t="s">
        <v>8221</v>
      </c>
      <c r="B1117">
        <v>8</v>
      </c>
    </row>
    <row r="1118" spans="1:2" x14ac:dyDescent="0.2">
      <c r="A1118" t="s">
        <v>8221</v>
      </c>
      <c r="B1118">
        <v>8</v>
      </c>
    </row>
    <row r="1119" spans="1:2" x14ac:dyDescent="0.2">
      <c r="A1119" t="s">
        <v>8221</v>
      </c>
      <c r="B1119">
        <v>8</v>
      </c>
    </row>
    <row r="1120" spans="1:2" x14ac:dyDescent="0.2">
      <c r="A1120" t="s">
        <v>8221</v>
      </c>
      <c r="B1120">
        <v>8</v>
      </c>
    </row>
    <row r="1121" spans="1:2" x14ac:dyDescent="0.2">
      <c r="A1121" t="s">
        <v>8221</v>
      </c>
      <c r="B1121">
        <v>8</v>
      </c>
    </row>
    <row r="1122" spans="1:2" x14ac:dyDescent="0.2">
      <c r="A1122" t="s">
        <v>8221</v>
      </c>
      <c r="B1122">
        <v>8</v>
      </c>
    </row>
    <row r="1123" spans="1:2" x14ac:dyDescent="0.2">
      <c r="A1123" t="s">
        <v>8221</v>
      </c>
      <c r="B1123">
        <v>8</v>
      </c>
    </row>
    <row r="1124" spans="1:2" x14ac:dyDescent="0.2">
      <c r="A1124" t="s">
        <v>8221</v>
      </c>
      <c r="B1124">
        <v>8</v>
      </c>
    </row>
    <row r="1125" spans="1:2" x14ac:dyDescent="0.2">
      <c r="A1125" t="s">
        <v>8221</v>
      </c>
      <c r="B1125">
        <v>8</v>
      </c>
    </row>
    <row r="1126" spans="1:2" x14ac:dyDescent="0.2">
      <c r="A1126" t="s">
        <v>8221</v>
      </c>
      <c r="B1126">
        <v>8</v>
      </c>
    </row>
    <row r="1127" spans="1:2" x14ac:dyDescent="0.2">
      <c r="A1127" t="s">
        <v>8221</v>
      </c>
      <c r="B1127">
        <v>8</v>
      </c>
    </row>
    <row r="1128" spans="1:2" x14ac:dyDescent="0.2">
      <c r="A1128" t="s">
        <v>8221</v>
      </c>
      <c r="B1128">
        <v>8</v>
      </c>
    </row>
    <row r="1129" spans="1:2" x14ac:dyDescent="0.2">
      <c r="A1129" t="s">
        <v>8221</v>
      </c>
      <c r="B1129">
        <v>7</v>
      </c>
    </row>
    <row r="1130" spans="1:2" x14ac:dyDescent="0.2">
      <c r="A1130" t="s">
        <v>8221</v>
      </c>
      <c r="B1130">
        <v>7</v>
      </c>
    </row>
    <row r="1131" spans="1:2" x14ac:dyDescent="0.2">
      <c r="A1131" t="s">
        <v>8221</v>
      </c>
      <c r="B1131">
        <v>7</v>
      </c>
    </row>
    <row r="1132" spans="1:2" x14ac:dyDescent="0.2">
      <c r="A1132" t="s">
        <v>8221</v>
      </c>
      <c r="B1132">
        <v>7</v>
      </c>
    </row>
    <row r="1133" spans="1:2" x14ac:dyDescent="0.2">
      <c r="A1133" t="s">
        <v>8221</v>
      </c>
      <c r="B1133">
        <v>7</v>
      </c>
    </row>
    <row r="1134" spans="1:2" x14ac:dyDescent="0.2">
      <c r="A1134" t="s">
        <v>8221</v>
      </c>
      <c r="B1134">
        <v>7</v>
      </c>
    </row>
    <row r="1135" spans="1:2" x14ac:dyDescent="0.2">
      <c r="A1135" t="s">
        <v>8221</v>
      </c>
      <c r="B1135">
        <v>7</v>
      </c>
    </row>
    <row r="1136" spans="1:2" x14ac:dyDescent="0.2">
      <c r="A1136" t="s">
        <v>8221</v>
      </c>
      <c r="B1136">
        <v>7</v>
      </c>
    </row>
    <row r="1137" spans="1:2" x14ac:dyDescent="0.2">
      <c r="A1137" t="s">
        <v>8221</v>
      </c>
      <c r="B1137">
        <v>7</v>
      </c>
    </row>
    <row r="1138" spans="1:2" x14ac:dyDescent="0.2">
      <c r="A1138" t="s">
        <v>8221</v>
      </c>
      <c r="B1138">
        <v>7</v>
      </c>
    </row>
    <row r="1139" spans="1:2" x14ac:dyDescent="0.2">
      <c r="A1139" t="s">
        <v>8221</v>
      </c>
      <c r="B1139">
        <v>7</v>
      </c>
    </row>
    <row r="1140" spans="1:2" x14ac:dyDescent="0.2">
      <c r="A1140" t="s">
        <v>8221</v>
      </c>
      <c r="B1140">
        <v>7</v>
      </c>
    </row>
    <row r="1141" spans="1:2" x14ac:dyDescent="0.2">
      <c r="A1141" t="s">
        <v>8221</v>
      </c>
      <c r="B1141">
        <v>7</v>
      </c>
    </row>
    <row r="1142" spans="1:2" x14ac:dyDescent="0.2">
      <c r="A1142" t="s">
        <v>8221</v>
      </c>
      <c r="B1142">
        <v>7</v>
      </c>
    </row>
    <row r="1143" spans="1:2" x14ac:dyDescent="0.2">
      <c r="A1143" t="s">
        <v>8221</v>
      </c>
      <c r="B1143">
        <v>7</v>
      </c>
    </row>
    <row r="1144" spans="1:2" x14ac:dyDescent="0.2">
      <c r="A1144" t="s">
        <v>8221</v>
      </c>
      <c r="B1144">
        <v>7</v>
      </c>
    </row>
    <row r="1145" spans="1:2" x14ac:dyDescent="0.2">
      <c r="A1145" t="s">
        <v>8221</v>
      </c>
      <c r="B1145">
        <v>7</v>
      </c>
    </row>
    <row r="1146" spans="1:2" x14ac:dyDescent="0.2">
      <c r="A1146" t="s">
        <v>8221</v>
      </c>
      <c r="B1146">
        <v>7</v>
      </c>
    </row>
    <row r="1147" spans="1:2" x14ac:dyDescent="0.2">
      <c r="A1147" t="s">
        <v>8221</v>
      </c>
      <c r="B1147">
        <v>7</v>
      </c>
    </row>
    <row r="1148" spans="1:2" x14ac:dyDescent="0.2">
      <c r="A1148" t="s">
        <v>8221</v>
      </c>
      <c r="B1148">
        <v>7</v>
      </c>
    </row>
    <row r="1149" spans="1:2" x14ac:dyDescent="0.2">
      <c r="A1149" t="s">
        <v>8221</v>
      </c>
      <c r="B1149">
        <v>7</v>
      </c>
    </row>
    <row r="1150" spans="1:2" x14ac:dyDescent="0.2">
      <c r="A1150" t="s">
        <v>8221</v>
      </c>
      <c r="B1150">
        <v>7</v>
      </c>
    </row>
    <row r="1151" spans="1:2" x14ac:dyDescent="0.2">
      <c r="A1151" t="s">
        <v>8221</v>
      </c>
      <c r="B1151">
        <v>7</v>
      </c>
    </row>
    <row r="1152" spans="1:2" x14ac:dyDescent="0.2">
      <c r="A1152" t="s">
        <v>8221</v>
      </c>
      <c r="B1152">
        <v>7</v>
      </c>
    </row>
    <row r="1153" spans="1:2" x14ac:dyDescent="0.2">
      <c r="A1153" t="s">
        <v>8221</v>
      </c>
      <c r="B1153">
        <v>7</v>
      </c>
    </row>
    <row r="1154" spans="1:2" x14ac:dyDescent="0.2">
      <c r="A1154" t="s">
        <v>8221</v>
      </c>
      <c r="B1154">
        <v>7</v>
      </c>
    </row>
    <row r="1155" spans="1:2" x14ac:dyDescent="0.2">
      <c r="A1155" t="s">
        <v>8221</v>
      </c>
      <c r="B1155">
        <v>7</v>
      </c>
    </row>
    <row r="1156" spans="1:2" x14ac:dyDescent="0.2">
      <c r="A1156" t="s">
        <v>8221</v>
      </c>
      <c r="B1156">
        <v>7</v>
      </c>
    </row>
    <row r="1157" spans="1:2" x14ac:dyDescent="0.2">
      <c r="A1157" t="s">
        <v>8221</v>
      </c>
      <c r="B1157">
        <v>7</v>
      </c>
    </row>
    <row r="1158" spans="1:2" x14ac:dyDescent="0.2">
      <c r="A1158" t="s">
        <v>8221</v>
      </c>
      <c r="B1158">
        <v>7</v>
      </c>
    </row>
    <row r="1159" spans="1:2" x14ac:dyDescent="0.2">
      <c r="A1159" t="s">
        <v>8221</v>
      </c>
      <c r="B1159">
        <v>7</v>
      </c>
    </row>
    <row r="1160" spans="1:2" x14ac:dyDescent="0.2">
      <c r="A1160" t="s">
        <v>8221</v>
      </c>
      <c r="B1160">
        <v>7</v>
      </c>
    </row>
    <row r="1161" spans="1:2" x14ac:dyDescent="0.2">
      <c r="A1161" t="s">
        <v>8221</v>
      </c>
      <c r="B1161">
        <v>7</v>
      </c>
    </row>
    <row r="1162" spans="1:2" x14ac:dyDescent="0.2">
      <c r="A1162" t="s">
        <v>8221</v>
      </c>
      <c r="B1162">
        <v>7</v>
      </c>
    </row>
    <row r="1163" spans="1:2" x14ac:dyDescent="0.2">
      <c r="A1163" t="s">
        <v>8221</v>
      </c>
      <c r="B1163">
        <v>7</v>
      </c>
    </row>
    <row r="1164" spans="1:2" x14ac:dyDescent="0.2">
      <c r="A1164" t="s">
        <v>8221</v>
      </c>
      <c r="B1164">
        <v>7</v>
      </c>
    </row>
    <row r="1165" spans="1:2" x14ac:dyDescent="0.2">
      <c r="A1165" t="s">
        <v>8221</v>
      </c>
      <c r="B1165">
        <v>7</v>
      </c>
    </row>
    <row r="1166" spans="1:2" x14ac:dyDescent="0.2">
      <c r="A1166" t="s">
        <v>8221</v>
      </c>
      <c r="B1166">
        <v>7</v>
      </c>
    </row>
    <row r="1167" spans="1:2" x14ac:dyDescent="0.2">
      <c r="A1167" t="s">
        <v>8221</v>
      </c>
      <c r="B1167">
        <v>7</v>
      </c>
    </row>
    <row r="1168" spans="1:2" x14ac:dyDescent="0.2">
      <c r="A1168" t="s">
        <v>8221</v>
      </c>
      <c r="B1168">
        <v>7</v>
      </c>
    </row>
    <row r="1169" spans="1:2" x14ac:dyDescent="0.2">
      <c r="A1169" t="s">
        <v>8221</v>
      </c>
      <c r="B1169">
        <v>7</v>
      </c>
    </row>
    <row r="1170" spans="1:2" x14ac:dyDescent="0.2">
      <c r="A1170" t="s">
        <v>8221</v>
      </c>
      <c r="B1170">
        <v>7</v>
      </c>
    </row>
    <row r="1171" spans="1:2" x14ac:dyDescent="0.2">
      <c r="A1171" t="s">
        <v>8221</v>
      </c>
      <c r="B1171">
        <v>7</v>
      </c>
    </row>
    <row r="1172" spans="1:2" x14ac:dyDescent="0.2">
      <c r="A1172" t="s">
        <v>8221</v>
      </c>
      <c r="B1172">
        <v>7</v>
      </c>
    </row>
    <row r="1173" spans="1:2" x14ac:dyDescent="0.2">
      <c r="A1173" t="s">
        <v>8221</v>
      </c>
      <c r="B1173">
        <v>7</v>
      </c>
    </row>
    <row r="1174" spans="1:2" x14ac:dyDescent="0.2">
      <c r="A1174" t="s">
        <v>8221</v>
      </c>
      <c r="B1174">
        <v>7</v>
      </c>
    </row>
    <row r="1175" spans="1:2" x14ac:dyDescent="0.2">
      <c r="A1175" t="s">
        <v>8221</v>
      </c>
      <c r="B1175">
        <v>7</v>
      </c>
    </row>
    <row r="1176" spans="1:2" x14ac:dyDescent="0.2">
      <c r="A1176" t="s">
        <v>8221</v>
      </c>
      <c r="B1176">
        <v>6</v>
      </c>
    </row>
    <row r="1177" spans="1:2" x14ac:dyDescent="0.2">
      <c r="A1177" t="s">
        <v>8221</v>
      </c>
      <c r="B1177">
        <v>6</v>
      </c>
    </row>
    <row r="1178" spans="1:2" x14ac:dyDescent="0.2">
      <c r="A1178" t="s">
        <v>8221</v>
      </c>
      <c r="B1178">
        <v>6</v>
      </c>
    </row>
    <row r="1179" spans="1:2" x14ac:dyDescent="0.2">
      <c r="A1179" t="s">
        <v>8221</v>
      </c>
      <c r="B1179">
        <v>6</v>
      </c>
    </row>
    <row r="1180" spans="1:2" x14ac:dyDescent="0.2">
      <c r="A1180" t="s">
        <v>8221</v>
      </c>
      <c r="B1180">
        <v>6</v>
      </c>
    </row>
    <row r="1181" spans="1:2" x14ac:dyDescent="0.2">
      <c r="A1181" t="s">
        <v>8221</v>
      </c>
      <c r="B1181">
        <v>6</v>
      </c>
    </row>
    <row r="1182" spans="1:2" x14ac:dyDescent="0.2">
      <c r="A1182" t="s">
        <v>8221</v>
      </c>
      <c r="B1182">
        <v>6</v>
      </c>
    </row>
    <row r="1183" spans="1:2" x14ac:dyDescent="0.2">
      <c r="A1183" t="s">
        <v>8221</v>
      </c>
      <c r="B1183">
        <v>6</v>
      </c>
    </row>
    <row r="1184" spans="1:2" x14ac:dyDescent="0.2">
      <c r="A1184" t="s">
        <v>8221</v>
      </c>
      <c r="B1184">
        <v>6</v>
      </c>
    </row>
    <row r="1185" spans="1:2" x14ac:dyDescent="0.2">
      <c r="A1185" t="s">
        <v>8221</v>
      </c>
      <c r="B1185">
        <v>6</v>
      </c>
    </row>
    <row r="1186" spans="1:2" hidden="1" x14ac:dyDescent="0.2">
      <c r="A1186" t="s">
        <v>8219</v>
      </c>
      <c r="B1186">
        <v>375</v>
      </c>
    </row>
    <row r="1187" spans="1:2" hidden="1" x14ac:dyDescent="0.2">
      <c r="A1187" t="s">
        <v>8219</v>
      </c>
      <c r="B1187">
        <v>111</v>
      </c>
    </row>
    <row r="1188" spans="1:2" hidden="1" x14ac:dyDescent="0.2">
      <c r="A1188" t="s">
        <v>8219</v>
      </c>
      <c r="B1188">
        <v>123</v>
      </c>
    </row>
    <row r="1189" spans="1:2" hidden="1" x14ac:dyDescent="0.2">
      <c r="A1189" t="s">
        <v>8219</v>
      </c>
      <c r="B1189">
        <v>70</v>
      </c>
    </row>
    <row r="1190" spans="1:2" hidden="1" x14ac:dyDescent="0.2">
      <c r="A1190" t="s">
        <v>8219</v>
      </c>
      <c r="B1190">
        <v>85</v>
      </c>
    </row>
    <row r="1191" spans="1:2" hidden="1" x14ac:dyDescent="0.2">
      <c r="A1191" t="s">
        <v>8219</v>
      </c>
      <c r="B1191">
        <v>86</v>
      </c>
    </row>
    <row r="1192" spans="1:2" hidden="1" x14ac:dyDescent="0.2">
      <c r="A1192" t="s">
        <v>8219</v>
      </c>
      <c r="B1192">
        <v>13</v>
      </c>
    </row>
    <row r="1193" spans="1:2" hidden="1" x14ac:dyDescent="0.2">
      <c r="A1193" t="s">
        <v>8219</v>
      </c>
      <c r="B1193">
        <v>33</v>
      </c>
    </row>
    <row r="1194" spans="1:2" hidden="1" x14ac:dyDescent="0.2">
      <c r="A1194" t="s">
        <v>8219</v>
      </c>
      <c r="B1194">
        <v>15</v>
      </c>
    </row>
    <row r="1195" spans="1:2" hidden="1" x14ac:dyDescent="0.2">
      <c r="A1195" t="s">
        <v>8219</v>
      </c>
      <c r="B1195">
        <v>273</v>
      </c>
    </row>
    <row r="1196" spans="1:2" hidden="1" x14ac:dyDescent="0.2">
      <c r="A1196" t="s">
        <v>8219</v>
      </c>
      <c r="B1196">
        <v>714</v>
      </c>
    </row>
    <row r="1197" spans="1:2" hidden="1" x14ac:dyDescent="0.2">
      <c r="A1197" t="s">
        <v>8219</v>
      </c>
      <c r="B1197">
        <v>170</v>
      </c>
    </row>
    <row r="1198" spans="1:2" hidden="1" x14ac:dyDescent="0.2">
      <c r="A1198" t="s">
        <v>8219</v>
      </c>
      <c r="B1198">
        <v>512</v>
      </c>
    </row>
    <row r="1199" spans="1:2" hidden="1" x14ac:dyDescent="0.2">
      <c r="A1199" t="s">
        <v>8219</v>
      </c>
      <c r="B1199">
        <v>314</v>
      </c>
    </row>
    <row r="1200" spans="1:2" hidden="1" x14ac:dyDescent="0.2">
      <c r="A1200" t="s">
        <v>8219</v>
      </c>
      <c r="B1200">
        <v>167</v>
      </c>
    </row>
    <row r="1201" spans="1:2" hidden="1" x14ac:dyDescent="0.2">
      <c r="A1201" t="s">
        <v>8219</v>
      </c>
      <c r="B1201">
        <v>9</v>
      </c>
    </row>
    <row r="1202" spans="1:2" hidden="1" x14ac:dyDescent="0.2">
      <c r="A1202" t="s">
        <v>8219</v>
      </c>
      <c r="B1202">
        <v>103</v>
      </c>
    </row>
    <row r="1203" spans="1:2" hidden="1" x14ac:dyDescent="0.2">
      <c r="A1203" t="s">
        <v>8219</v>
      </c>
      <c r="B1203">
        <v>111</v>
      </c>
    </row>
    <row r="1204" spans="1:2" hidden="1" x14ac:dyDescent="0.2">
      <c r="A1204" t="s">
        <v>8219</v>
      </c>
      <c r="B1204">
        <v>271</v>
      </c>
    </row>
    <row r="1205" spans="1:2" hidden="1" x14ac:dyDescent="0.2">
      <c r="A1205" t="s">
        <v>8219</v>
      </c>
      <c r="B1205">
        <v>101</v>
      </c>
    </row>
    <row r="1206" spans="1:2" hidden="1" x14ac:dyDescent="0.2">
      <c r="A1206" t="s">
        <v>8219</v>
      </c>
      <c r="B1206">
        <v>57</v>
      </c>
    </row>
    <row r="1207" spans="1:2" hidden="1" x14ac:dyDescent="0.2">
      <c r="A1207" t="s">
        <v>8219</v>
      </c>
      <c r="B1207">
        <v>62</v>
      </c>
    </row>
    <row r="1208" spans="1:2" hidden="1" x14ac:dyDescent="0.2">
      <c r="A1208" t="s">
        <v>8219</v>
      </c>
      <c r="B1208">
        <v>32</v>
      </c>
    </row>
    <row r="1209" spans="1:2" hidden="1" x14ac:dyDescent="0.2">
      <c r="A1209" t="s">
        <v>8219</v>
      </c>
      <c r="B1209">
        <v>141</v>
      </c>
    </row>
    <row r="1210" spans="1:2" hidden="1" x14ac:dyDescent="0.2">
      <c r="A1210" t="s">
        <v>8219</v>
      </c>
      <c r="B1210">
        <v>75</v>
      </c>
    </row>
    <row r="1211" spans="1:2" hidden="1" x14ac:dyDescent="0.2">
      <c r="A1211" t="s">
        <v>8219</v>
      </c>
      <c r="B1211">
        <v>46</v>
      </c>
    </row>
    <row r="1212" spans="1:2" hidden="1" x14ac:dyDescent="0.2">
      <c r="A1212" t="s">
        <v>8219</v>
      </c>
      <c r="B1212">
        <v>103</v>
      </c>
    </row>
    <row r="1213" spans="1:2" hidden="1" x14ac:dyDescent="0.2">
      <c r="A1213" t="s">
        <v>8219</v>
      </c>
      <c r="B1213">
        <v>6</v>
      </c>
    </row>
    <row r="1214" spans="1:2" hidden="1" x14ac:dyDescent="0.2">
      <c r="A1214" t="s">
        <v>8219</v>
      </c>
      <c r="B1214">
        <v>83</v>
      </c>
    </row>
    <row r="1215" spans="1:2" hidden="1" x14ac:dyDescent="0.2">
      <c r="A1215" t="s">
        <v>8219</v>
      </c>
      <c r="B1215">
        <v>108</v>
      </c>
    </row>
    <row r="1216" spans="1:2" hidden="1" x14ac:dyDescent="0.2">
      <c r="A1216" t="s">
        <v>8219</v>
      </c>
      <c r="B1216">
        <v>25</v>
      </c>
    </row>
    <row r="1217" spans="1:2" hidden="1" x14ac:dyDescent="0.2">
      <c r="A1217" t="s">
        <v>8219</v>
      </c>
      <c r="B1217">
        <v>549</v>
      </c>
    </row>
    <row r="1218" spans="1:2" hidden="1" x14ac:dyDescent="0.2">
      <c r="A1218" t="s">
        <v>8219</v>
      </c>
      <c r="B1218">
        <v>222</v>
      </c>
    </row>
    <row r="1219" spans="1:2" hidden="1" x14ac:dyDescent="0.2">
      <c r="A1219" t="s">
        <v>8219</v>
      </c>
      <c r="B1219">
        <v>183</v>
      </c>
    </row>
    <row r="1220" spans="1:2" hidden="1" x14ac:dyDescent="0.2">
      <c r="A1220" t="s">
        <v>8219</v>
      </c>
      <c r="B1220">
        <v>89</v>
      </c>
    </row>
    <row r="1221" spans="1:2" hidden="1" x14ac:dyDescent="0.2">
      <c r="A1221" t="s">
        <v>8219</v>
      </c>
      <c r="B1221">
        <v>253</v>
      </c>
    </row>
    <row r="1222" spans="1:2" hidden="1" x14ac:dyDescent="0.2">
      <c r="A1222" t="s">
        <v>8219</v>
      </c>
      <c r="B1222">
        <v>140</v>
      </c>
    </row>
    <row r="1223" spans="1:2" hidden="1" x14ac:dyDescent="0.2">
      <c r="A1223" t="s">
        <v>8219</v>
      </c>
      <c r="B1223">
        <v>103</v>
      </c>
    </row>
    <row r="1224" spans="1:2" hidden="1" x14ac:dyDescent="0.2">
      <c r="A1224" t="s">
        <v>8219</v>
      </c>
      <c r="B1224">
        <v>138</v>
      </c>
    </row>
    <row r="1225" spans="1:2" hidden="1" x14ac:dyDescent="0.2">
      <c r="A1225" t="s">
        <v>8219</v>
      </c>
      <c r="B1225">
        <v>191</v>
      </c>
    </row>
    <row r="1226" spans="1:2" hidden="1" x14ac:dyDescent="0.2">
      <c r="A1226" t="s">
        <v>8220</v>
      </c>
      <c r="B1226">
        <v>18</v>
      </c>
    </row>
    <row r="1227" spans="1:2" hidden="1" x14ac:dyDescent="0.2">
      <c r="A1227" t="s">
        <v>8220</v>
      </c>
      <c r="B1227">
        <v>3</v>
      </c>
    </row>
    <row r="1228" spans="1:2" hidden="1" x14ac:dyDescent="0.2">
      <c r="A1228" t="s">
        <v>8220</v>
      </c>
      <c r="B1228">
        <v>40</v>
      </c>
    </row>
    <row r="1229" spans="1:2" hidden="1" x14ac:dyDescent="0.2">
      <c r="A1229" t="s">
        <v>8220</v>
      </c>
      <c r="B1229">
        <v>0</v>
      </c>
    </row>
    <row r="1230" spans="1:2" hidden="1" x14ac:dyDescent="0.2">
      <c r="A1230" t="s">
        <v>8220</v>
      </c>
      <c r="B1230">
        <v>24</v>
      </c>
    </row>
    <row r="1231" spans="1:2" hidden="1" x14ac:dyDescent="0.2">
      <c r="A1231" t="s">
        <v>8220</v>
      </c>
      <c r="B1231">
        <v>1</v>
      </c>
    </row>
    <row r="1232" spans="1:2" hidden="1" x14ac:dyDescent="0.2">
      <c r="A1232" t="s">
        <v>8220</v>
      </c>
      <c r="B1232">
        <v>0</v>
      </c>
    </row>
    <row r="1233" spans="1:2" hidden="1" x14ac:dyDescent="0.2">
      <c r="A1233" t="s">
        <v>8220</v>
      </c>
      <c r="B1233">
        <v>0</v>
      </c>
    </row>
    <row r="1234" spans="1:2" hidden="1" x14ac:dyDescent="0.2">
      <c r="A1234" t="s">
        <v>8220</v>
      </c>
      <c r="B1234">
        <v>1</v>
      </c>
    </row>
    <row r="1235" spans="1:2" hidden="1" x14ac:dyDescent="0.2">
      <c r="A1235" t="s">
        <v>8220</v>
      </c>
      <c r="B1235">
        <v>6</v>
      </c>
    </row>
    <row r="1236" spans="1:2" hidden="1" x14ac:dyDescent="0.2">
      <c r="A1236" t="s">
        <v>8220</v>
      </c>
      <c r="B1236">
        <v>0</v>
      </c>
    </row>
    <row r="1237" spans="1:2" hidden="1" x14ac:dyDescent="0.2">
      <c r="A1237" t="s">
        <v>8220</v>
      </c>
      <c r="B1237">
        <v>6</v>
      </c>
    </row>
    <row r="1238" spans="1:2" hidden="1" x14ac:dyDescent="0.2">
      <c r="A1238" t="s">
        <v>8220</v>
      </c>
      <c r="B1238">
        <v>0</v>
      </c>
    </row>
    <row r="1239" spans="1:2" hidden="1" x14ac:dyDescent="0.2">
      <c r="A1239" t="s">
        <v>8220</v>
      </c>
      <c r="B1239">
        <v>0</v>
      </c>
    </row>
    <row r="1240" spans="1:2" hidden="1" x14ac:dyDescent="0.2">
      <c r="A1240" t="s">
        <v>8220</v>
      </c>
      <c r="B1240">
        <v>3</v>
      </c>
    </row>
    <row r="1241" spans="1:2" hidden="1" x14ac:dyDescent="0.2">
      <c r="A1241" t="s">
        <v>8220</v>
      </c>
      <c r="B1241">
        <v>0</v>
      </c>
    </row>
    <row r="1242" spans="1:2" hidden="1" x14ac:dyDescent="0.2">
      <c r="A1242" t="s">
        <v>8220</v>
      </c>
      <c r="B1242">
        <v>8</v>
      </c>
    </row>
    <row r="1243" spans="1:2" hidden="1" x14ac:dyDescent="0.2">
      <c r="A1243" t="s">
        <v>8220</v>
      </c>
      <c r="B1243">
        <v>34</v>
      </c>
    </row>
    <row r="1244" spans="1:2" hidden="1" x14ac:dyDescent="0.2">
      <c r="A1244" t="s">
        <v>8220</v>
      </c>
      <c r="B1244">
        <v>1</v>
      </c>
    </row>
    <row r="1245" spans="1:2" hidden="1" x14ac:dyDescent="0.2">
      <c r="A1245" t="s">
        <v>8220</v>
      </c>
      <c r="B1245">
        <v>38</v>
      </c>
    </row>
    <row r="1246" spans="1:2" hidden="1" x14ac:dyDescent="0.2">
      <c r="A1246" t="s">
        <v>8219</v>
      </c>
      <c r="B1246">
        <v>45</v>
      </c>
    </row>
    <row r="1247" spans="1:2" hidden="1" x14ac:dyDescent="0.2">
      <c r="A1247" t="s">
        <v>8219</v>
      </c>
      <c r="B1247">
        <v>17</v>
      </c>
    </row>
    <row r="1248" spans="1:2" hidden="1" x14ac:dyDescent="0.2">
      <c r="A1248" t="s">
        <v>8219</v>
      </c>
      <c r="B1248">
        <v>31</v>
      </c>
    </row>
    <row r="1249" spans="1:2" hidden="1" x14ac:dyDescent="0.2">
      <c r="A1249" t="s">
        <v>8219</v>
      </c>
      <c r="B1249">
        <v>50</v>
      </c>
    </row>
    <row r="1250" spans="1:2" hidden="1" x14ac:dyDescent="0.2">
      <c r="A1250" t="s">
        <v>8219</v>
      </c>
      <c r="B1250">
        <v>59</v>
      </c>
    </row>
    <row r="1251" spans="1:2" hidden="1" x14ac:dyDescent="0.2">
      <c r="A1251" t="s">
        <v>8219</v>
      </c>
      <c r="B1251">
        <v>81</v>
      </c>
    </row>
    <row r="1252" spans="1:2" hidden="1" x14ac:dyDescent="0.2">
      <c r="A1252" t="s">
        <v>8219</v>
      </c>
      <c r="B1252">
        <v>508</v>
      </c>
    </row>
    <row r="1253" spans="1:2" hidden="1" x14ac:dyDescent="0.2">
      <c r="A1253" t="s">
        <v>8219</v>
      </c>
      <c r="B1253">
        <v>74</v>
      </c>
    </row>
    <row r="1254" spans="1:2" hidden="1" x14ac:dyDescent="0.2">
      <c r="A1254" t="s">
        <v>8219</v>
      </c>
      <c r="B1254">
        <v>141</v>
      </c>
    </row>
    <row r="1255" spans="1:2" hidden="1" x14ac:dyDescent="0.2">
      <c r="A1255" t="s">
        <v>8219</v>
      </c>
      <c r="B1255">
        <v>711</v>
      </c>
    </row>
    <row r="1256" spans="1:2" hidden="1" x14ac:dyDescent="0.2">
      <c r="A1256" t="s">
        <v>8219</v>
      </c>
      <c r="B1256">
        <v>141</v>
      </c>
    </row>
    <row r="1257" spans="1:2" hidden="1" x14ac:dyDescent="0.2">
      <c r="A1257" t="s">
        <v>8219</v>
      </c>
      <c r="B1257">
        <v>109</v>
      </c>
    </row>
    <row r="1258" spans="1:2" hidden="1" x14ac:dyDescent="0.2">
      <c r="A1258" t="s">
        <v>8219</v>
      </c>
      <c r="B1258">
        <v>361</v>
      </c>
    </row>
    <row r="1259" spans="1:2" hidden="1" x14ac:dyDescent="0.2">
      <c r="A1259" t="s">
        <v>8219</v>
      </c>
      <c r="B1259">
        <v>176</v>
      </c>
    </row>
    <row r="1260" spans="1:2" hidden="1" x14ac:dyDescent="0.2">
      <c r="A1260" t="s">
        <v>8219</v>
      </c>
      <c r="B1260">
        <v>670</v>
      </c>
    </row>
    <row r="1261" spans="1:2" hidden="1" x14ac:dyDescent="0.2">
      <c r="A1261" t="s">
        <v>8219</v>
      </c>
      <c r="B1261">
        <v>96</v>
      </c>
    </row>
    <row r="1262" spans="1:2" hidden="1" x14ac:dyDescent="0.2">
      <c r="A1262" t="s">
        <v>8219</v>
      </c>
      <c r="B1262">
        <v>74</v>
      </c>
    </row>
    <row r="1263" spans="1:2" hidden="1" x14ac:dyDescent="0.2">
      <c r="A1263" t="s">
        <v>8219</v>
      </c>
      <c r="B1263">
        <v>52</v>
      </c>
    </row>
    <row r="1264" spans="1:2" hidden="1" x14ac:dyDescent="0.2">
      <c r="A1264" t="s">
        <v>8219</v>
      </c>
      <c r="B1264">
        <v>105</v>
      </c>
    </row>
    <row r="1265" spans="1:2" hidden="1" x14ac:dyDescent="0.2">
      <c r="A1265" t="s">
        <v>8219</v>
      </c>
      <c r="B1265">
        <v>41</v>
      </c>
    </row>
    <row r="1266" spans="1:2" hidden="1" x14ac:dyDescent="0.2">
      <c r="A1266" t="s">
        <v>8219</v>
      </c>
      <c r="B1266">
        <v>34</v>
      </c>
    </row>
    <row r="1267" spans="1:2" hidden="1" x14ac:dyDescent="0.2">
      <c r="A1267" t="s">
        <v>8219</v>
      </c>
      <c r="B1267">
        <v>66</v>
      </c>
    </row>
    <row r="1268" spans="1:2" hidden="1" x14ac:dyDescent="0.2">
      <c r="A1268" t="s">
        <v>8219</v>
      </c>
      <c r="B1268">
        <v>50</v>
      </c>
    </row>
    <row r="1269" spans="1:2" hidden="1" x14ac:dyDescent="0.2">
      <c r="A1269" t="s">
        <v>8219</v>
      </c>
      <c r="B1269">
        <v>159</v>
      </c>
    </row>
    <row r="1270" spans="1:2" hidden="1" x14ac:dyDescent="0.2">
      <c r="A1270" t="s">
        <v>8219</v>
      </c>
      <c r="B1270">
        <v>182</v>
      </c>
    </row>
    <row r="1271" spans="1:2" hidden="1" x14ac:dyDescent="0.2">
      <c r="A1271" t="s">
        <v>8219</v>
      </c>
      <c r="B1271">
        <v>206</v>
      </c>
    </row>
    <row r="1272" spans="1:2" hidden="1" x14ac:dyDescent="0.2">
      <c r="A1272" t="s">
        <v>8219</v>
      </c>
      <c r="B1272">
        <v>169</v>
      </c>
    </row>
    <row r="1273" spans="1:2" hidden="1" x14ac:dyDescent="0.2">
      <c r="A1273" t="s">
        <v>8219</v>
      </c>
      <c r="B1273">
        <v>31</v>
      </c>
    </row>
    <row r="1274" spans="1:2" hidden="1" x14ac:dyDescent="0.2">
      <c r="A1274" t="s">
        <v>8219</v>
      </c>
      <c r="B1274">
        <v>28</v>
      </c>
    </row>
    <row r="1275" spans="1:2" hidden="1" x14ac:dyDescent="0.2">
      <c r="A1275" t="s">
        <v>8219</v>
      </c>
      <c r="B1275">
        <v>54</v>
      </c>
    </row>
    <row r="1276" spans="1:2" hidden="1" x14ac:dyDescent="0.2">
      <c r="A1276" t="s">
        <v>8219</v>
      </c>
      <c r="B1276">
        <v>467</v>
      </c>
    </row>
    <row r="1277" spans="1:2" hidden="1" x14ac:dyDescent="0.2">
      <c r="A1277" t="s">
        <v>8219</v>
      </c>
      <c r="B1277">
        <v>389</v>
      </c>
    </row>
    <row r="1278" spans="1:2" hidden="1" x14ac:dyDescent="0.2">
      <c r="A1278" t="s">
        <v>8219</v>
      </c>
      <c r="B1278">
        <v>68</v>
      </c>
    </row>
    <row r="1279" spans="1:2" hidden="1" x14ac:dyDescent="0.2">
      <c r="A1279" t="s">
        <v>8219</v>
      </c>
      <c r="B1279">
        <v>413</v>
      </c>
    </row>
    <row r="1280" spans="1:2" hidden="1" x14ac:dyDescent="0.2">
      <c r="A1280" t="s">
        <v>8219</v>
      </c>
      <c r="B1280">
        <v>190</v>
      </c>
    </row>
    <row r="1281" spans="1:2" hidden="1" x14ac:dyDescent="0.2">
      <c r="A1281" t="s">
        <v>8219</v>
      </c>
      <c r="B1281">
        <v>189</v>
      </c>
    </row>
    <row r="1282" spans="1:2" hidden="1" x14ac:dyDescent="0.2">
      <c r="A1282" t="s">
        <v>8219</v>
      </c>
      <c r="B1282">
        <v>130</v>
      </c>
    </row>
    <row r="1283" spans="1:2" hidden="1" x14ac:dyDescent="0.2">
      <c r="A1283" t="s">
        <v>8219</v>
      </c>
      <c r="B1283">
        <v>74</v>
      </c>
    </row>
    <row r="1284" spans="1:2" hidden="1" x14ac:dyDescent="0.2">
      <c r="A1284" t="s">
        <v>8219</v>
      </c>
      <c r="B1284">
        <v>274</v>
      </c>
    </row>
    <row r="1285" spans="1:2" hidden="1" x14ac:dyDescent="0.2">
      <c r="A1285" t="s">
        <v>8219</v>
      </c>
      <c r="B1285">
        <v>22</v>
      </c>
    </row>
    <row r="1286" spans="1:2" hidden="1" x14ac:dyDescent="0.2">
      <c r="A1286" t="s">
        <v>8219</v>
      </c>
      <c r="B1286">
        <v>31</v>
      </c>
    </row>
    <row r="1287" spans="1:2" hidden="1" x14ac:dyDescent="0.2">
      <c r="A1287" t="s">
        <v>8219</v>
      </c>
      <c r="B1287">
        <v>63</v>
      </c>
    </row>
    <row r="1288" spans="1:2" hidden="1" x14ac:dyDescent="0.2">
      <c r="A1288" t="s">
        <v>8219</v>
      </c>
      <c r="B1288">
        <v>20</v>
      </c>
    </row>
    <row r="1289" spans="1:2" hidden="1" x14ac:dyDescent="0.2">
      <c r="A1289" t="s">
        <v>8219</v>
      </c>
      <c r="B1289">
        <v>25</v>
      </c>
    </row>
    <row r="1290" spans="1:2" hidden="1" x14ac:dyDescent="0.2">
      <c r="A1290" t="s">
        <v>8219</v>
      </c>
      <c r="B1290">
        <v>61</v>
      </c>
    </row>
    <row r="1291" spans="1:2" hidden="1" x14ac:dyDescent="0.2">
      <c r="A1291" t="s">
        <v>8219</v>
      </c>
      <c r="B1291">
        <v>52</v>
      </c>
    </row>
    <row r="1292" spans="1:2" hidden="1" x14ac:dyDescent="0.2">
      <c r="A1292" t="s">
        <v>8219</v>
      </c>
      <c r="B1292">
        <v>86</v>
      </c>
    </row>
    <row r="1293" spans="1:2" hidden="1" x14ac:dyDescent="0.2">
      <c r="A1293" t="s">
        <v>8219</v>
      </c>
      <c r="B1293">
        <v>42</v>
      </c>
    </row>
    <row r="1294" spans="1:2" hidden="1" x14ac:dyDescent="0.2">
      <c r="A1294" t="s">
        <v>8219</v>
      </c>
      <c r="B1294">
        <v>52</v>
      </c>
    </row>
    <row r="1295" spans="1:2" hidden="1" x14ac:dyDescent="0.2">
      <c r="A1295" t="s">
        <v>8219</v>
      </c>
      <c r="B1295">
        <v>120</v>
      </c>
    </row>
    <row r="1296" spans="1:2" hidden="1" x14ac:dyDescent="0.2">
      <c r="A1296" t="s">
        <v>8219</v>
      </c>
      <c r="B1296">
        <v>22</v>
      </c>
    </row>
    <row r="1297" spans="1:2" hidden="1" x14ac:dyDescent="0.2">
      <c r="A1297" t="s">
        <v>8219</v>
      </c>
      <c r="B1297">
        <v>64</v>
      </c>
    </row>
    <row r="1298" spans="1:2" hidden="1" x14ac:dyDescent="0.2">
      <c r="A1298" t="s">
        <v>8219</v>
      </c>
      <c r="B1298">
        <v>23</v>
      </c>
    </row>
    <row r="1299" spans="1:2" hidden="1" x14ac:dyDescent="0.2">
      <c r="A1299" t="s">
        <v>8219</v>
      </c>
      <c r="B1299">
        <v>238</v>
      </c>
    </row>
    <row r="1300" spans="1:2" hidden="1" x14ac:dyDescent="0.2">
      <c r="A1300" t="s">
        <v>8219</v>
      </c>
      <c r="B1300">
        <v>33</v>
      </c>
    </row>
    <row r="1301" spans="1:2" hidden="1" x14ac:dyDescent="0.2">
      <c r="A1301" t="s">
        <v>8219</v>
      </c>
      <c r="B1301">
        <v>32</v>
      </c>
    </row>
    <row r="1302" spans="1:2" hidden="1" x14ac:dyDescent="0.2">
      <c r="A1302" t="s">
        <v>8219</v>
      </c>
      <c r="B1302">
        <v>24</v>
      </c>
    </row>
    <row r="1303" spans="1:2" hidden="1" x14ac:dyDescent="0.2">
      <c r="A1303" t="s">
        <v>8219</v>
      </c>
      <c r="B1303">
        <v>29</v>
      </c>
    </row>
    <row r="1304" spans="1:2" hidden="1" x14ac:dyDescent="0.2">
      <c r="A1304" t="s">
        <v>8219</v>
      </c>
      <c r="B1304">
        <v>50</v>
      </c>
    </row>
    <row r="1305" spans="1:2" hidden="1" x14ac:dyDescent="0.2">
      <c r="A1305" t="s">
        <v>8219</v>
      </c>
      <c r="B1305">
        <v>108</v>
      </c>
    </row>
    <row r="1306" spans="1:2" hidden="1" x14ac:dyDescent="0.2">
      <c r="A1306" t="s">
        <v>8220</v>
      </c>
      <c r="B1306">
        <v>104</v>
      </c>
    </row>
    <row r="1307" spans="1:2" hidden="1" x14ac:dyDescent="0.2">
      <c r="A1307" t="s">
        <v>8220</v>
      </c>
      <c r="B1307">
        <v>86</v>
      </c>
    </row>
    <row r="1308" spans="1:2" hidden="1" x14ac:dyDescent="0.2">
      <c r="A1308" t="s">
        <v>8220</v>
      </c>
      <c r="B1308">
        <v>356</v>
      </c>
    </row>
    <row r="1309" spans="1:2" hidden="1" x14ac:dyDescent="0.2">
      <c r="A1309" t="s">
        <v>8220</v>
      </c>
      <c r="B1309">
        <v>45</v>
      </c>
    </row>
    <row r="1310" spans="1:2" hidden="1" x14ac:dyDescent="0.2">
      <c r="A1310" t="s">
        <v>8220</v>
      </c>
      <c r="B1310">
        <v>38</v>
      </c>
    </row>
    <row r="1311" spans="1:2" hidden="1" x14ac:dyDescent="0.2">
      <c r="A1311" t="s">
        <v>8220</v>
      </c>
      <c r="B1311">
        <v>35</v>
      </c>
    </row>
    <row r="1312" spans="1:2" hidden="1" x14ac:dyDescent="0.2">
      <c r="A1312" t="s">
        <v>8220</v>
      </c>
      <c r="B1312">
        <v>24</v>
      </c>
    </row>
    <row r="1313" spans="1:2" hidden="1" x14ac:dyDescent="0.2">
      <c r="A1313" t="s">
        <v>8220</v>
      </c>
      <c r="B1313">
        <v>100</v>
      </c>
    </row>
    <row r="1314" spans="1:2" hidden="1" x14ac:dyDescent="0.2">
      <c r="A1314" t="s">
        <v>8220</v>
      </c>
      <c r="B1314">
        <v>1</v>
      </c>
    </row>
    <row r="1315" spans="1:2" hidden="1" x14ac:dyDescent="0.2">
      <c r="A1315" t="s">
        <v>8220</v>
      </c>
      <c r="B1315">
        <v>122</v>
      </c>
    </row>
    <row r="1316" spans="1:2" hidden="1" x14ac:dyDescent="0.2">
      <c r="A1316" t="s">
        <v>8220</v>
      </c>
      <c r="B1316">
        <v>11</v>
      </c>
    </row>
    <row r="1317" spans="1:2" hidden="1" x14ac:dyDescent="0.2">
      <c r="A1317" t="s">
        <v>8220</v>
      </c>
      <c r="B1317">
        <v>248</v>
      </c>
    </row>
    <row r="1318" spans="1:2" hidden="1" x14ac:dyDescent="0.2">
      <c r="A1318" t="s">
        <v>8220</v>
      </c>
      <c r="B1318">
        <v>1</v>
      </c>
    </row>
    <row r="1319" spans="1:2" hidden="1" x14ac:dyDescent="0.2">
      <c r="A1319" t="s">
        <v>8220</v>
      </c>
      <c r="B1319">
        <v>19</v>
      </c>
    </row>
    <row r="1320" spans="1:2" hidden="1" x14ac:dyDescent="0.2">
      <c r="A1320" t="s">
        <v>8220</v>
      </c>
      <c r="B1320">
        <v>135</v>
      </c>
    </row>
    <row r="1321" spans="1:2" hidden="1" x14ac:dyDescent="0.2">
      <c r="A1321" t="s">
        <v>8220</v>
      </c>
      <c r="B1321">
        <v>9</v>
      </c>
    </row>
    <row r="1322" spans="1:2" hidden="1" x14ac:dyDescent="0.2">
      <c r="A1322" t="s">
        <v>8220</v>
      </c>
      <c r="B1322">
        <v>3</v>
      </c>
    </row>
    <row r="1323" spans="1:2" hidden="1" x14ac:dyDescent="0.2">
      <c r="A1323" t="s">
        <v>8220</v>
      </c>
      <c r="B1323">
        <v>7</v>
      </c>
    </row>
    <row r="1324" spans="1:2" hidden="1" x14ac:dyDescent="0.2">
      <c r="A1324" t="s">
        <v>8220</v>
      </c>
      <c r="B1324">
        <v>4</v>
      </c>
    </row>
    <row r="1325" spans="1:2" hidden="1" x14ac:dyDescent="0.2">
      <c r="A1325" t="s">
        <v>8220</v>
      </c>
      <c r="B1325">
        <v>44</v>
      </c>
    </row>
    <row r="1326" spans="1:2" hidden="1" x14ac:dyDescent="0.2">
      <c r="A1326" t="s">
        <v>8220</v>
      </c>
      <c r="B1326">
        <v>90</v>
      </c>
    </row>
    <row r="1327" spans="1:2" hidden="1" x14ac:dyDescent="0.2">
      <c r="A1327" t="s">
        <v>8220</v>
      </c>
      <c r="B1327">
        <v>8</v>
      </c>
    </row>
    <row r="1328" spans="1:2" hidden="1" x14ac:dyDescent="0.2">
      <c r="A1328" t="s">
        <v>8220</v>
      </c>
      <c r="B1328">
        <v>11</v>
      </c>
    </row>
    <row r="1329" spans="1:2" hidden="1" x14ac:dyDescent="0.2">
      <c r="A1329" t="s">
        <v>8220</v>
      </c>
      <c r="B1329">
        <v>41</v>
      </c>
    </row>
    <row r="1330" spans="1:2" hidden="1" x14ac:dyDescent="0.2">
      <c r="A1330" t="s">
        <v>8220</v>
      </c>
      <c r="B1330">
        <v>15</v>
      </c>
    </row>
    <row r="1331" spans="1:2" hidden="1" x14ac:dyDescent="0.2">
      <c r="A1331" t="s">
        <v>8220</v>
      </c>
      <c r="B1331">
        <v>9</v>
      </c>
    </row>
    <row r="1332" spans="1:2" hidden="1" x14ac:dyDescent="0.2">
      <c r="A1332" t="s">
        <v>8220</v>
      </c>
      <c r="B1332">
        <v>50</v>
      </c>
    </row>
    <row r="1333" spans="1:2" hidden="1" x14ac:dyDescent="0.2">
      <c r="A1333" t="s">
        <v>8220</v>
      </c>
      <c r="B1333">
        <v>34</v>
      </c>
    </row>
    <row r="1334" spans="1:2" hidden="1" x14ac:dyDescent="0.2">
      <c r="A1334" t="s">
        <v>8220</v>
      </c>
      <c r="B1334">
        <v>0</v>
      </c>
    </row>
    <row r="1335" spans="1:2" hidden="1" x14ac:dyDescent="0.2">
      <c r="A1335" t="s">
        <v>8220</v>
      </c>
      <c r="B1335">
        <v>0</v>
      </c>
    </row>
    <row r="1336" spans="1:2" hidden="1" x14ac:dyDescent="0.2">
      <c r="A1336" t="s">
        <v>8220</v>
      </c>
      <c r="B1336">
        <v>276</v>
      </c>
    </row>
    <row r="1337" spans="1:2" hidden="1" x14ac:dyDescent="0.2">
      <c r="A1337" t="s">
        <v>8220</v>
      </c>
      <c r="B1337">
        <v>16</v>
      </c>
    </row>
    <row r="1338" spans="1:2" hidden="1" x14ac:dyDescent="0.2">
      <c r="A1338" t="s">
        <v>8220</v>
      </c>
      <c r="B1338">
        <v>224</v>
      </c>
    </row>
    <row r="1339" spans="1:2" hidden="1" x14ac:dyDescent="0.2">
      <c r="A1339" t="s">
        <v>8220</v>
      </c>
      <c r="B1339">
        <v>140</v>
      </c>
    </row>
    <row r="1340" spans="1:2" hidden="1" x14ac:dyDescent="0.2">
      <c r="A1340" t="s">
        <v>8220</v>
      </c>
      <c r="B1340">
        <v>15</v>
      </c>
    </row>
    <row r="1341" spans="1:2" hidden="1" x14ac:dyDescent="0.2">
      <c r="A1341" t="s">
        <v>8220</v>
      </c>
      <c r="B1341">
        <v>37</v>
      </c>
    </row>
    <row r="1342" spans="1:2" hidden="1" x14ac:dyDescent="0.2">
      <c r="A1342" t="s">
        <v>8220</v>
      </c>
      <c r="B1342">
        <v>0</v>
      </c>
    </row>
    <row r="1343" spans="1:2" hidden="1" x14ac:dyDescent="0.2">
      <c r="A1343" t="s">
        <v>8220</v>
      </c>
      <c r="B1343">
        <v>46</v>
      </c>
    </row>
    <row r="1344" spans="1:2" hidden="1" x14ac:dyDescent="0.2">
      <c r="A1344" t="s">
        <v>8220</v>
      </c>
      <c r="B1344">
        <v>1</v>
      </c>
    </row>
    <row r="1345" spans="1:2" hidden="1" x14ac:dyDescent="0.2">
      <c r="A1345" t="s">
        <v>8220</v>
      </c>
      <c r="B1345">
        <v>323</v>
      </c>
    </row>
    <row r="1346" spans="1:2" hidden="1" x14ac:dyDescent="0.2">
      <c r="A1346" t="s">
        <v>8219</v>
      </c>
      <c r="B1346">
        <v>139</v>
      </c>
    </row>
    <row r="1347" spans="1:2" hidden="1" x14ac:dyDescent="0.2">
      <c r="A1347" t="s">
        <v>8219</v>
      </c>
      <c r="B1347">
        <v>7</v>
      </c>
    </row>
    <row r="1348" spans="1:2" hidden="1" x14ac:dyDescent="0.2">
      <c r="A1348" t="s">
        <v>8219</v>
      </c>
      <c r="B1348">
        <v>149</v>
      </c>
    </row>
    <row r="1349" spans="1:2" hidden="1" x14ac:dyDescent="0.2">
      <c r="A1349" t="s">
        <v>8219</v>
      </c>
      <c r="B1349">
        <v>31</v>
      </c>
    </row>
    <row r="1350" spans="1:2" hidden="1" x14ac:dyDescent="0.2">
      <c r="A1350" t="s">
        <v>8219</v>
      </c>
      <c r="B1350">
        <v>26</v>
      </c>
    </row>
    <row r="1351" spans="1:2" hidden="1" x14ac:dyDescent="0.2">
      <c r="A1351" t="s">
        <v>8219</v>
      </c>
      <c r="B1351">
        <v>172</v>
      </c>
    </row>
    <row r="1352" spans="1:2" hidden="1" x14ac:dyDescent="0.2">
      <c r="A1352" t="s">
        <v>8219</v>
      </c>
      <c r="B1352">
        <v>78</v>
      </c>
    </row>
    <row r="1353" spans="1:2" hidden="1" x14ac:dyDescent="0.2">
      <c r="A1353" t="s">
        <v>8219</v>
      </c>
      <c r="B1353">
        <v>120</v>
      </c>
    </row>
    <row r="1354" spans="1:2" hidden="1" x14ac:dyDescent="0.2">
      <c r="A1354" t="s">
        <v>8219</v>
      </c>
      <c r="B1354">
        <v>227</v>
      </c>
    </row>
    <row r="1355" spans="1:2" hidden="1" x14ac:dyDescent="0.2">
      <c r="A1355" t="s">
        <v>8219</v>
      </c>
      <c r="B1355">
        <v>42</v>
      </c>
    </row>
    <row r="1356" spans="1:2" hidden="1" x14ac:dyDescent="0.2">
      <c r="A1356" t="s">
        <v>8219</v>
      </c>
      <c r="B1356">
        <v>64</v>
      </c>
    </row>
    <row r="1357" spans="1:2" hidden="1" x14ac:dyDescent="0.2">
      <c r="A1357" t="s">
        <v>8219</v>
      </c>
      <c r="B1357">
        <v>121</v>
      </c>
    </row>
    <row r="1358" spans="1:2" hidden="1" x14ac:dyDescent="0.2">
      <c r="A1358" t="s">
        <v>8219</v>
      </c>
      <c r="B1358">
        <v>87</v>
      </c>
    </row>
    <row r="1359" spans="1:2" hidden="1" x14ac:dyDescent="0.2">
      <c r="A1359" t="s">
        <v>8219</v>
      </c>
      <c r="B1359">
        <v>65</v>
      </c>
    </row>
    <row r="1360" spans="1:2" hidden="1" x14ac:dyDescent="0.2">
      <c r="A1360" t="s">
        <v>8219</v>
      </c>
      <c r="B1360">
        <v>49</v>
      </c>
    </row>
    <row r="1361" spans="1:2" hidden="1" x14ac:dyDescent="0.2">
      <c r="A1361" t="s">
        <v>8219</v>
      </c>
      <c r="B1361">
        <v>19</v>
      </c>
    </row>
    <row r="1362" spans="1:2" hidden="1" x14ac:dyDescent="0.2">
      <c r="A1362" t="s">
        <v>8219</v>
      </c>
      <c r="B1362">
        <v>81</v>
      </c>
    </row>
    <row r="1363" spans="1:2" hidden="1" x14ac:dyDescent="0.2">
      <c r="A1363" t="s">
        <v>8219</v>
      </c>
      <c r="B1363">
        <v>264</v>
      </c>
    </row>
    <row r="1364" spans="1:2" hidden="1" x14ac:dyDescent="0.2">
      <c r="A1364" t="s">
        <v>8219</v>
      </c>
      <c r="B1364">
        <v>25</v>
      </c>
    </row>
    <row r="1365" spans="1:2" hidden="1" x14ac:dyDescent="0.2">
      <c r="A1365" t="s">
        <v>8219</v>
      </c>
      <c r="B1365">
        <v>5</v>
      </c>
    </row>
    <row r="1366" spans="1:2" hidden="1" x14ac:dyDescent="0.2">
      <c r="A1366" t="s">
        <v>8219</v>
      </c>
      <c r="B1366">
        <v>144</v>
      </c>
    </row>
    <row r="1367" spans="1:2" hidden="1" x14ac:dyDescent="0.2">
      <c r="A1367" t="s">
        <v>8219</v>
      </c>
      <c r="B1367">
        <v>92</v>
      </c>
    </row>
    <row r="1368" spans="1:2" hidden="1" x14ac:dyDescent="0.2">
      <c r="A1368" t="s">
        <v>8219</v>
      </c>
      <c r="B1368">
        <v>147</v>
      </c>
    </row>
    <row r="1369" spans="1:2" hidden="1" x14ac:dyDescent="0.2">
      <c r="A1369" t="s">
        <v>8219</v>
      </c>
      <c r="B1369">
        <v>90</v>
      </c>
    </row>
    <row r="1370" spans="1:2" hidden="1" x14ac:dyDescent="0.2">
      <c r="A1370" t="s">
        <v>8219</v>
      </c>
      <c r="B1370">
        <v>87</v>
      </c>
    </row>
    <row r="1371" spans="1:2" hidden="1" x14ac:dyDescent="0.2">
      <c r="A1371" t="s">
        <v>8219</v>
      </c>
      <c r="B1371">
        <v>406</v>
      </c>
    </row>
    <row r="1372" spans="1:2" hidden="1" x14ac:dyDescent="0.2">
      <c r="A1372" t="s">
        <v>8219</v>
      </c>
      <c r="B1372">
        <v>20</v>
      </c>
    </row>
    <row r="1373" spans="1:2" hidden="1" x14ac:dyDescent="0.2">
      <c r="A1373" t="s">
        <v>8219</v>
      </c>
      <c r="B1373">
        <v>70</v>
      </c>
    </row>
    <row r="1374" spans="1:2" hidden="1" x14ac:dyDescent="0.2">
      <c r="A1374" t="s">
        <v>8219</v>
      </c>
      <c r="B1374">
        <v>16</v>
      </c>
    </row>
    <row r="1375" spans="1:2" hidden="1" x14ac:dyDescent="0.2">
      <c r="A1375" t="s">
        <v>8219</v>
      </c>
      <c r="B1375">
        <v>52</v>
      </c>
    </row>
    <row r="1376" spans="1:2" hidden="1" x14ac:dyDescent="0.2">
      <c r="A1376" t="s">
        <v>8219</v>
      </c>
      <c r="B1376">
        <v>66</v>
      </c>
    </row>
    <row r="1377" spans="1:2" hidden="1" x14ac:dyDescent="0.2">
      <c r="A1377" t="s">
        <v>8219</v>
      </c>
      <c r="B1377">
        <v>109</v>
      </c>
    </row>
    <row r="1378" spans="1:2" hidden="1" x14ac:dyDescent="0.2">
      <c r="A1378" t="s">
        <v>8219</v>
      </c>
      <c r="B1378">
        <v>168</v>
      </c>
    </row>
    <row r="1379" spans="1:2" hidden="1" x14ac:dyDescent="0.2">
      <c r="A1379" t="s">
        <v>8219</v>
      </c>
      <c r="B1379">
        <v>31</v>
      </c>
    </row>
    <row r="1380" spans="1:2" hidden="1" x14ac:dyDescent="0.2">
      <c r="A1380" t="s">
        <v>8219</v>
      </c>
      <c r="B1380">
        <v>133</v>
      </c>
    </row>
    <row r="1381" spans="1:2" hidden="1" x14ac:dyDescent="0.2">
      <c r="A1381" t="s">
        <v>8219</v>
      </c>
      <c r="B1381">
        <v>151</v>
      </c>
    </row>
    <row r="1382" spans="1:2" hidden="1" x14ac:dyDescent="0.2">
      <c r="A1382" t="s">
        <v>8219</v>
      </c>
      <c r="B1382">
        <v>5</v>
      </c>
    </row>
    <row r="1383" spans="1:2" hidden="1" x14ac:dyDescent="0.2">
      <c r="A1383" t="s">
        <v>8219</v>
      </c>
      <c r="B1383">
        <v>73</v>
      </c>
    </row>
    <row r="1384" spans="1:2" hidden="1" x14ac:dyDescent="0.2">
      <c r="A1384" t="s">
        <v>8219</v>
      </c>
      <c r="B1384">
        <v>148</v>
      </c>
    </row>
    <row r="1385" spans="1:2" hidden="1" x14ac:dyDescent="0.2">
      <c r="A1385" t="s">
        <v>8219</v>
      </c>
      <c r="B1385">
        <v>93</v>
      </c>
    </row>
    <row r="1386" spans="1:2" hidden="1" x14ac:dyDescent="0.2">
      <c r="A1386" t="s">
        <v>8219</v>
      </c>
      <c r="B1386">
        <v>63</v>
      </c>
    </row>
    <row r="1387" spans="1:2" hidden="1" x14ac:dyDescent="0.2">
      <c r="A1387" t="s">
        <v>8219</v>
      </c>
      <c r="B1387">
        <v>134</v>
      </c>
    </row>
    <row r="1388" spans="1:2" hidden="1" x14ac:dyDescent="0.2">
      <c r="A1388" t="s">
        <v>8219</v>
      </c>
      <c r="B1388">
        <v>14</v>
      </c>
    </row>
    <row r="1389" spans="1:2" hidden="1" x14ac:dyDescent="0.2">
      <c r="A1389" t="s">
        <v>8219</v>
      </c>
      <c r="B1389">
        <v>78</v>
      </c>
    </row>
    <row r="1390" spans="1:2" hidden="1" x14ac:dyDescent="0.2">
      <c r="A1390" t="s">
        <v>8219</v>
      </c>
      <c r="B1390">
        <v>112</v>
      </c>
    </row>
    <row r="1391" spans="1:2" hidden="1" x14ac:dyDescent="0.2">
      <c r="A1391" t="s">
        <v>8219</v>
      </c>
      <c r="B1391">
        <v>34</v>
      </c>
    </row>
    <row r="1392" spans="1:2" hidden="1" x14ac:dyDescent="0.2">
      <c r="A1392" t="s">
        <v>8219</v>
      </c>
      <c r="B1392">
        <v>19</v>
      </c>
    </row>
    <row r="1393" spans="1:2" hidden="1" x14ac:dyDescent="0.2">
      <c r="A1393" t="s">
        <v>8219</v>
      </c>
      <c r="B1393">
        <v>13</v>
      </c>
    </row>
    <row r="1394" spans="1:2" hidden="1" x14ac:dyDescent="0.2">
      <c r="A1394" t="s">
        <v>8219</v>
      </c>
      <c r="B1394">
        <v>104</v>
      </c>
    </row>
    <row r="1395" spans="1:2" hidden="1" x14ac:dyDescent="0.2">
      <c r="A1395" t="s">
        <v>8219</v>
      </c>
      <c r="B1395">
        <v>52</v>
      </c>
    </row>
    <row r="1396" spans="1:2" hidden="1" x14ac:dyDescent="0.2">
      <c r="A1396" t="s">
        <v>8219</v>
      </c>
      <c r="B1396">
        <v>17</v>
      </c>
    </row>
    <row r="1397" spans="1:2" hidden="1" x14ac:dyDescent="0.2">
      <c r="A1397" t="s">
        <v>8219</v>
      </c>
      <c r="B1397">
        <v>82</v>
      </c>
    </row>
    <row r="1398" spans="1:2" hidden="1" x14ac:dyDescent="0.2">
      <c r="A1398" t="s">
        <v>8219</v>
      </c>
      <c r="B1398">
        <v>73</v>
      </c>
    </row>
    <row r="1399" spans="1:2" hidden="1" x14ac:dyDescent="0.2">
      <c r="A1399" t="s">
        <v>8219</v>
      </c>
      <c r="B1399">
        <v>158</v>
      </c>
    </row>
    <row r="1400" spans="1:2" hidden="1" x14ac:dyDescent="0.2">
      <c r="A1400" t="s">
        <v>8219</v>
      </c>
      <c r="B1400">
        <v>65</v>
      </c>
    </row>
    <row r="1401" spans="1:2" hidden="1" x14ac:dyDescent="0.2">
      <c r="A1401" t="s">
        <v>8219</v>
      </c>
      <c r="B1401">
        <v>184</v>
      </c>
    </row>
    <row r="1402" spans="1:2" hidden="1" x14ac:dyDescent="0.2">
      <c r="A1402" t="s">
        <v>8219</v>
      </c>
      <c r="B1402">
        <v>34</v>
      </c>
    </row>
    <row r="1403" spans="1:2" hidden="1" x14ac:dyDescent="0.2">
      <c r="A1403" t="s">
        <v>8219</v>
      </c>
      <c r="B1403">
        <v>240</v>
      </c>
    </row>
    <row r="1404" spans="1:2" hidden="1" x14ac:dyDescent="0.2">
      <c r="A1404" t="s">
        <v>8219</v>
      </c>
      <c r="B1404">
        <v>113</v>
      </c>
    </row>
    <row r="1405" spans="1:2" hidden="1" x14ac:dyDescent="0.2">
      <c r="A1405" t="s">
        <v>8219</v>
      </c>
      <c r="B1405">
        <v>66</v>
      </c>
    </row>
    <row r="1406" spans="1:2" x14ac:dyDescent="0.2">
      <c r="A1406" t="s">
        <v>8221</v>
      </c>
      <c r="B1406">
        <v>6</v>
      </c>
    </row>
    <row r="1407" spans="1:2" x14ac:dyDescent="0.2">
      <c r="A1407" t="s">
        <v>8221</v>
      </c>
      <c r="B1407">
        <v>6</v>
      </c>
    </row>
    <row r="1408" spans="1:2" x14ac:dyDescent="0.2">
      <c r="A1408" t="s">
        <v>8221</v>
      </c>
      <c r="B1408">
        <v>6</v>
      </c>
    </row>
    <row r="1409" spans="1:2" x14ac:dyDescent="0.2">
      <c r="A1409" t="s">
        <v>8221</v>
      </c>
      <c r="B1409">
        <v>6</v>
      </c>
    </row>
    <row r="1410" spans="1:2" x14ac:dyDescent="0.2">
      <c r="A1410" t="s">
        <v>8221</v>
      </c>
      <c r="B1410">
        <v>6</v>
      </c>
    </row>
    <row r="1411" spans="1:2" x14ac:dyDescent="0.2">
      <c r="A1411" t="s">
        <v>8221</v>
      </c>
      <c r="B1411">
        <v>6</v>
      </c>
    </row>
    <row r="1412" spans="1:2" x14ac:dyDescent="0.2">
      <c r="A1412" t="s">
        <v>8221</v>
      </c>
      <c r="B1412">
        <v>6</v>
      </c>
    </row>
    <row r="1413" spans="1:2" x14ac:dyDescent="0.2">
      <c r="A1413" t="s">
        <v>8221</v>
      </c>
      <c r="B1413">
        <v>6</v>
      </c>
    </row>
    <row r="1414" spans="1:2" x14ac:dyDescent="0.2">
      <c r="A1414" t="s">
        <v>8221</v>
      </c>
      <c r="B1414">
        <v>6</v>
      </c>
    </row>
    <row r="1415" spans="1:2" x14ac:dyDescent="0.2">
      <c r="A1415" t="s">
        <v>8221</v>
      </c>
      <c r="B1415">
        <v>6</v>
      </c>
    </row>
    <row r="1416" spans="1:2" x14ac:dyDescent="0.2">
      <c r="A1416" t="s">
        <v>8221</v>
      </c>
      <c r="B1416">
        <v>6</v>
      </c>
    </row>
    <row r="1417" spans="1:2" x14ac:dyDescent="0.2">
      <c r="A1417" t="s">
        <v>8221</v>
      </c>
      <c r="B1417">
        <v>6</v>
      </c>
    </row>
    <row r="1418" spans="1:2" x14ac:dyDescent="0.2">
      <c r="A1418" t="s">
        <v>8221</v>
      </c>
      <c r="B1418">
        <v>6</v>
      </c>
    </row>
    <row r="1419" spans="1:2" x14ac:dyDescent="0.2">
      <c r="A1419" t="s">
        <v>8221</v>
      </c>
      <c r="B1419">
        <v>6</v>
      </c>
    </row>
    <row r="1420" spans="1:2" x14ac:dyDescent="0.2">
      <c r="A1420" t="s">
        <v>8221</v>
      </c>
      <c r="B1420">
        <v>6</v>
      </c>
    </row>
    <row r="1421" spans="1:2" x14ac:dyDescent="0.2">
      <c r="A1421" t="s">
        <v>8221</v>
      </c>
      <c r="B1421">
        <v>6</v>
      </c>
    </row>
    <row r="1422" spans="1:2" x14ac:dyDescent="0.2">
      <c r="A1422" t="s">
        <v>8221</v>
      </c>
      <c r="B1422">
        <v>6</v>
      </c>
    </row>
    <row r="1423" spans="1:2" x14ac:dyDescent="0.2">
      <c r="A1423" t="s">
        <v>8221</v>
      </c>
      <c r="B1423">
        <v>6</v>
      </c>
    </row>
    <row r="1424" spans="1:2" x14ac:dyDescent="0.2">
      <c r="A1424" t="s">
        <v>8221</v>
      </c>
      <c r="B1424">
        <v>6</v>
      </c>
    </row>
    <row r="1425" spans="1:2" x14ac:dyDescent="0.2">
      <c r="A1425" t="s">
        <v>8221</v>
      </c>
      <c r="B1425">
        <v>6</v>
      </c>
    </row>
    <row r="1426" spans="1:2" x14ac:dyDescent="0.2">
      <c r="A1426" t="s">
        <v>8221</v>
      </c>
      <c r="B1426">
        <v>6</v>
      </c>
    </row>
    <row r="1427" spans="1:2" x14ac:dyDescent="0.2">
      <c r="A1427" t="s">
        <v>8221</v>
      </c>
      <c r="B1427">
        <v>6</v>
      </c>
    </row>
    <row r="1428" spans="1:2" x14ac:dyDescent="0.2">
      <c r="A1428" t="s">
        <v>8221</v>
      </c>
      <c r="B1428">
        <v>6</v>
      </c>
    </row>
    <row r="1429" spans="1:2" x14ac:dyDescent="0.2">
      <c r="A1429" t="s">
        <v>8221</v>
      </c>
      <c r="B1429">
        <v>6</v>
      </c>
    </row>
    <row r="1430" spans="1:2" x14ac:dyDescent="0.2">
      <c r="A1430" t="s">
        <v>8221</v>
      </c>
      <c r="B1430">
        <v>6</v>
      </c>
    </row>
    <row r="1431" spans="1:2" x14ac:dyDescent="0.2">
      <c r="A1431" t="s">
        <v>8221</v>
      </c>
      <c r="B1431">
        <v>6</v>
      </c>
    </row>
    <row r="1432" spans="1:2" x14ac:dyDescent="0.2">
      <c r="A1432" t="s">
        <v>8221</v>
      </c>
      <c r="B1432">
        <v>6</v>
      </c>
    </row>
    <row r="1433" spans="1:2" x14ac:dyDescent="0.2">
      <c r="A1433" t="s">
        <v>8221</v>
      </c>
      <c r="B1433">
        <v>6</v>
      </c>
    </row>
    <row r="1434" spans="1:2" x14ac:dyDescent="0.2">
      <c r="A1434" t="s">
        <v>8221</v>
      </c>
      <c r="B1434">
        <v>6</v>
      </c>
    </row>
    <row r="1435" spans="1:2" x14ac:dyDescent="0.2">
      <c r="A1435" t="s">
        <v>8221</v>
      </c>
      <c r="B1435">
        <v>6</v>
      </c>
    </row>
    <row r="1436" spans="1:2" x14ac:dyDescent="0.2">
      <c r="A1436" t="s">
        <v>8221</v>
      </c>
      <c r="B1436">
        <v>6</v>
      </c>
    </row>
    <row r="1437" spans="1:2" x14ac:dyDescent="0.2">
      <c r="A1437" t="s">
        <v>8221</v>
      </c>
      <c r="B1437">
        <v>6</v>
      </c>
    </row>
    <row r="1438" spans="1:2" x14ac:dyDescent="0.2">
      <c r="A1438" t="s">
        <v>8221</v>
      </c>
      <c r="B1438">
        <v>6</v>
      </c>
    </row>
    <row r="1439" spans="1:2" x14ac:dyDescent="0.2">
      <c r="A1439" t="s">
        <v>8221</v>
      </c>
      <c r="B1439">
        <v>6</v>
      </c>
    </row>
    <row r="1440" spans="1:2" x14ac:dyDescent="0.2">
      <c r="A1440" t="s">
        <v>8221</v>
      </c>
      <c r="B1440">
        <v>6</v>
      </c>
    </row>
    <row r="1441" spans="1:2" x14ac:dyDescent="0.2">
      <c r="A1441" t="s">
        <v>8221</v>
      </c>
      <c r="B1441">
        <v>6</v>
      </c>
    </row>
    <row r="1442" spans="1:2" x14ac:dyDescent="0.2">
      <c r="A1442" t="s">
        <v>8221</v>
      </c>
      <c r="B1442">
        <v>6</v>
      </c>
    </row>
    <row r="1443" spans="1:2" x14ac:dyDescent="0.2">
      <c r="A1443" t="s">
        <v>8221</v>
      </c>
      <c r="B1443">
        <v>6</v>
      </c>
    </row>
    <row r="1444" spans="1:2" x14ac:dyDescent="0.2">
      <c r="A1444" t="s">
        <v>8221</v>
      </c>
      <c r="B1444">
        <v>6</v>
      </c>
    </row>
    <row r="1445" spans="1:2" x14ac:dyDescent="0.2">
      <c r="A1445" t="s">
        <v>8221</v>
      </c>
      <c r="B1445">
        <v>6</v>
      </c>
    </row>
    <row r="1446" spans="1:2" x14ac:dyDescent="0.2">
      <c r="A1446" t="s">
        <v>8221</v>
      </c>
      <c r="B1446">
        <v>5</v>
      </c>
    </row>
    <row r="1447" spans="1:2" x14ac:dyDescent="0.2">
      <c r="A1447" t="s">
        <v>8221</v>
      </c>
      <c r="B1447">
        <v>5</v>
      </c>
    </row>
    <row r="1448" spans="1:2" x14ac:dyDescent="0.2">
      <c r="A1448" t="s">
        <v>8221</v>
      </c>
      <c r="B1448">
        <v>5</v>
      </c>
    </row>
    <row r="1449" spans="1:2" x14ac:dyDescent="0.2">
      <c r="A1449" t="s">
        <v>8221</v>
      </c>
      <c r="B1449">
        <v>5</v>
      </c>
    </row>
    <row r="1450" spans="1:2" x14ac:dyDescent="0.2">
      <c r="A1450" t="s">
        <v>8221</v>
      </c>
      <c r="B1450">
        <v>5</v>
      </c>
    </row>
    <row r="1451" spans="1:2" x14ac:dyDescent="0.2">
      <c r="A1451" t="s">
        <v>8221</v>
      </c>
      <c r="B1451">
        <v>5</v>
      </c>
    </row>
    <row r="1452" spans="1:2" x14ac:dyDescent="0.2">
      <c r="A1452" t="s">
        <v>8221</v>
      </c>
      <c r="B1452">
        <v>5</v>
      </c>
    </row>
    <row r="1453" spans="1:2" hidden="1" x14ac:dyDescent="0.2">
      <c r="A1453" t="s">
        <v>8220</v>
      </c>
      <c r="B1453">
        <v>2</v>
      </c>
    </row>
    <row r="1454" spans="1:2" hidden="1" x14ac:dyDescent="0.2">
      <c r="A1454" t="s">
        <v>8220</v>
      </c>
      <c r="B1454">
        <v>0</v>
      </c>
    </row>
    <row r="1455" spans="1:2" hidden="1" x14ac:dyDescent="0.2">
      <c r="A1455" t="s">
        <v>8220</v>
      </c>
      <c r="B1455">
        <v>0</v>
      </c>
    </row>
    <row r="1456" spans="1:2" hidden="1" x14ac:dyDescent="0.2">
      <c r="A1456" t="s">
        <v>8220</v>
      </c>
      <c r="B1456">
        <v>1</v>
      </c>
    </row>
    <row r="1457" spans="1:2" hidden="1" x14ac:dyDescent="0.2">
      <c r="A1457" t="s">
        <v>8220</v>
      </c>
      <c r="B1457">
        <v>7</v>
      </c>
    </row>
    <row r="1458" spans="1:2" hidden="1" x14ac:dyDescent="0.2">
      <c r="A1458" t="s">
        <v>8220</v>
      </c>
      <c r="B1458">
        <v>3</v>
      </c>
    </row>
    <row r="1459" spans="1:2" hidden="1" x14ac:dyDescent="0.2">
      <c r="A1459" t="s">
        <v>8220</v>
      </c>
      <c r="B1459">
        <v>0</v>
      </c>
    </row>
    <row r="1460" spans="1:2" hidden="1" x14ac:dyDescent="0.2">
      <c r="A1460" t="s">
        <v>8220</v>
      </c>
      <c r="B1460">
        <v>0</v>
      </c>
    </row>
    <row r="1461" spans="1:2" hidden="1" x14ac:dyDescent="0.2">
      <c r="A1461" t="s">
        <v>8220</v>
      </c>
      <c r="B1461">
        <v>0</v>
      </c>
    </row>
    <row r="1462" spans="1:2" hidden="1" x14ac:dyDescent="0.2">
      <c r="A1462" t="s">
        <v>8220</v>
      </c>
      <c r="B1462">
        <v>0</v>
      </c>
    </row>
    <row r="1463" spans="1:2" hidden="1" x14ac:dyDescent="0.2">
      <c r="A1463" t="s">
        <v>8219</v>
      </c>
      <c r="B1463">
        <v>340</v>
      </c>
    </row>
    <row r="1464" spans="1:2" hidden="1" x14ac:dyDescent="0.2">
      <c r="A1464" t="s">
        <v>8219</v>
      </c>
      <c r="B1464">
        <v>150</v>
      </c>
    </row>
    <row r="1465" spans="1:2" hidden="1" x14ac:dyDescent="0.2">
      <c r="A1465" t="s">
        <v>8219</v>
      </c>
      <c r="B1465">
        <v>25</v>
      </c>
    </row>
    <row r="1466" spans="1:2" hidden="1" x14ac:dyDescent="0.2">
      <c r="A1466" t="s">
        <v>8219</v>
      </c>
      <c r="B1466">
        <v>234</v>
      </c>
    </row>
    <row r="1467" spans="1:2" hidden="1" x14ac:dyDescent="0.2">
      <c r="A1467" t="s">
        <v>8219</v>
      </c>
      <c r="B1467">
        <v>2602</v>
      </c>
    </row>
    <row r="1468" spans="1:2" hidden="1" x14ac:dyDescent="0.2">
      <c r="A1468" t="s">
        <v>8219</v>
      </c>
      <c r="B1468">
        <v>248</v>
      </c>
    </row>
    <row r="1469" spans="1:2" hidden="1" x14ac:dyDescent="0.2">
      <c r="A1469" t="s">
        <v>8219</v>
      </c>
      <c r="B1469">
        <v>600</v>
      </c>
    </row>
    <row r="1470" spans="1:2" hidden="1" x14ac:dyDescent="0.2">
      <c r="A1470" t="s">
        <v>8219</v>
      </c>
      <c r="B1470">
        <v>293</v>
      </c>
    </row>
    <row r="1471" spans="1:2" hidden="1" x14ac:dyDescent="0.2">
      <c r="A1471" t="s">
        <v>8219</v>
      </c>
      <c r="B1471">
        <v>321</v>
      </c>
    </row>
    <row r="1472" spans="1:2" hidden="1" x14ac:dyDescent="0.2">
      <c r="A1472" t="s">
        <v>8219</v>
      </c>
      <c r="B1472">
        <v>81</v>
      </c>
    </row>
    <row r="1473" spans="1:2" hidden="1" x14ac:dyDescent="0.2">
      <c r="A1473" t="s">
        <v>8219</v>
      </c>
      <c r="B1473">
        <v>343</v>
      </c>
    </row>
    <row r="1474" spans="1:2" hidden="1" x14ac:dyDescent="0.2">
      <c r="A1474" t="s">
        <v>8219</v>
      </c>
      <c r="B1474">
        <v>336</v>
      </c>
    </row>
    <row r="1475" spans="1:2" hidden="1" x14ac:dyDescent="0.2">
      <c r="A1475" t="s">
        <v>8219</v>
      </c>
      <c r="B1475">
        <v>47</v>
      </c>
    </row>
    <row r="1476" spans="1:2" hidden="1" x14ac:dyDescent="0.2">
      <c r="A1476" t="s">
        <v>8219</v>
      </c>
      <c r="B1476">
        <v>76</v>
      </c>
    </row>
    <row r="1477" spans="1:2" hidden="1" x14ac:dyDescent="0.2">
      <c r="A1477" t="s">
        <v>8219</v>
      </c>
      <c r="B1477">
        <v>441</v>
      </c>
    </row>
    <row r="1478" spans="1:2" hidden="1" x14ac:dyDescent="0.2">
      <c r="A1478" t="s">
        <v>8219</v>
      </c>
      <c r="B1478">
        <v>916</v>
      </c>
    </row>
    <row r="1479" spans="1:2" hidden="1" x14ac:dyDescent="0.2">
      <c r="A1479" t="s">
        <v>8219</v>
      </c>
      <c r="B1479">
        <v>369</v>
      </c>
    </row>
    <row r="1480" spans="1:2" hidden="1" x14ac:dyDescent="0.2">
      <c r="A1480" t="s">
        <v>8219</v>
      </c>
      <c r="B1480">
        <v>20242</v>
      </c>
    </row>
    <row r="1481" spans="1:2" hidden="1" x14ac:dyDescent="0.2">
      <c r="A1481" t="s">
        <v>8219</v>
      </c>
      <c r="B1481">
        <v>71</v>
      </c>
    </row>
    <row r="1482" spans="1:2" hidden="1" x14ac:dyDescent="0.2">
      <c r="A1482" t="s">
        <v>8219</v>
      </c>
      <c r="B1482">
        <v>635</v>
      </c>
    </row>
    <row r="1483" spans="1:2" x14ac:dyDescent="0.2">
      <c r="A1483" t="s">
        <v>8221</v>
      </c>
      <c r="B1483">
        <v>5</v>
      </c>
    </row>
    <row r="1484" spans="1:2" x14ac:dyDescent="0.2">
      <c r="A1484" t="s">
        <v>8221</v>
      </c>
      <c r="B1484">
        <v>5</v>
      </c>
    </row>
    <row r="1485" spans="1:2" x14ac:dyDescent="0.2">
      <c r="A1485" t="s">
        <v>8221</v>
      </c>
      <c r="B1485">
        <v>5</v>
      </c>
    </row>
    <row r="1486" spans="1:2" x14ac:dyDescent="0.2">
      <c r="A1486" t="s">
        <v>8221</v>
      </c>
      <c r="B1486">
        <v>5</v>
      </c>
    </row>
    <row r="1487" spans="1:2" x14ac:dyDescent="0.2">
      <c r="A1487" t="s">
        <v>8221</v>
      </c>
      <c r="B1487">
        <v>5</v>
      </c>
    </row>
    <row r="1488" spans="1:2" x14ac:dyDescent="0.2">
      <c r="A1488" t="s">
        <v>8221</v>
      </c>
      <c r="B1488">
        <v>5</v>
      </c>
    </row>
    <row r="1489" spans="1:2" x14ac:dyDescent="0.2">
      <c r="A1489" t="s">
        <v>8221</v>
      </c>
      <c r="B1489">
        <v>5</v>
      </c>
    </row>
    <row r="1490" spans="1:2" x14ac:dyDescent="0.2">
      <c r="A1490" t="s">
        <v>8221</v>
      </c>
      <c r="B1490">
        <v>5</v>
      </c>
    </row>
    <row r="1491" spans="1:2" x14ac:dyDescent="0.2">
      <c r="A1491" t="s">
        <v>8221</v>
      </c>
      <c r="B1491">
        <v>5</v>
      </c>
    </row>
    <row r="1492" spans="1:2" x14ac:dyDescent="0.2">
      <c r="A1492" t="s">
        <v>8221</v>
      </c>
      <c r="B1492">
        <v>5</v>
      </c>
    </row>
    <row r="1493" spans="1:2" x14ac:dyDescent="0.2">
      <c r="A1493" t="s">
        <v>8221</v>
      </c>
      <c r="B1493">
        <v>5</v>
      </c>
    </row>
    <row r="1494" spans="1:2" x14ac:dyDescent="0.2">
      <c r="A1494" t="s">
        <v>8221</v>
      </c>
      <c r="B1494">
        <v>5</v>
      </c>
    </row>
    <row r="1495" spans="1:2" x14ac:dyDescent="0.2">
      <c r="A1495" t="s">
        <v>8221</v>
      </c>
      <c r="B1495">
        <v>5</v>
      </c>
    </row>
    <row r="1496" spans="1:2" x14ac:dyDescent="0.2">
      <c r="A1496" t="s">
        <v>8221</v>
      </c>
      <c r="B1496">
        <v>5</v>
      </c>
    </row>
    <row r="1497" spans="1:2" x14ac:dyDescent="0.2">
      <c r="A1497" t="s">
        <v>8221</v>
      </c>
      <c r="B1497">
        <v>5</v>
      </c>
    </row>
    <row r="1498" spans="1:2" x14ac:dyDescent="0.2">
      <c r="A1498" t="s">
        <v>8221</v>
      </c>
      <c r="B1498">
        <v>5</v>
      </c>
    </row>
    <row r="1499" spans="1:2" x14ac:dyDescent="0.2">
      <c r="A1499" t="s">
        <v>8221</v>
      </c>
      <c r="B1499">
        <v>5</v>
      </c>
    </row>
    <row r="1500" spans="1:2" x14ac:dyDescent="0.2">
      <c r="A1500" t="s">
        <v>8221</v>
      </c>
      <c r="B1500">
        <v>5</v>
      </c>
    </row>
    <row r="1501" spans="1:2" x14ac:dyDescent="0.2">
      <c r="A1501" t="s">
        <v>8221</v>
      </c>
      <c r="B1501">
        <v>5</v>
      </c>
    </row>
    <row r="1502" spans="1:2" x14ac:dyDescent="0.2">
      <c r="A1502" t="s">
        <v>8221</v>
      </c>
      <c r="B1502">
        <v>5</v>
      </c>
    </row>
    <row r="1503" spans="1:2" hidden="1" x14ac:dyDescent="0.2">
      <c r="A1503" t="s">
        <v>8219</v>
      </c>
      <c r="B1503">
        <v>885</v>
      </c>
    </row>
    <row r="1504" spans="1:2" hidden="1" x14ac:dyDescent="0.2">
      <c r="A1504" t="s">
        <v>8219</v>
      </c>
      <c r="B1504">
        <v>329</v>
      </c>
    </row>
    <row r="1505" spans="1:2" hidden="1" x14ac:dyDescent="0.2">
      <c r="A1505" t="s">
        <v>8219</v>
      </c>
      <c r="B1505">
        <v>71</v>
      </c>
    </row>
    <row r="1506" spans="1:2" hidden="1" x14ac:dyDescent="0.2">
      <c r="A1506" t="s">
        <v>8219</v>
      </c>
      <c r="B1506">
        <v>269</v>
      </c>
    </row>
    <row r="1507" spans="1:2" hidden="1" x14ac:dyDescent="0.2">
      <c r="A1507" t="s">
        <v>8219</v>
      </c>
      <c r="B1507">
        <v>345</v>
      </c>
    </row>
    <row r="1508" spans="1:2" hidden="1" x14ac:dyDescent="0.2">
      <c r="A1508" t="s">
        <v>8219</v>
      </c>
      <c r="B1508">
        <v>43</v>
      </c>
    </row>
    <row r="1509" spans="1:2" hidden="1" x14ac:dyDescent="0.2">
      <c r="A1509" t="s">
        <v>8219</v>
      </c>
      <c r="B1509">
        <v>33</v>
      </c>
    </row>
    <row r="1510" spans="1:2" hidden="1" x14ac:dyDescent="0.2">
      <c r="A1510" t="s">
        <v>8219</v>
      </c>
      <c r="B1510">
        <v>211</v>
      </c>
    </row>
    <row r="1511" spans="1:2" hidden="1" x14ac:dyDescent="0.2">
      <c r="A1511" t="s">
        <v>8219</v>
      </c>
      <c r="B1511">
        <v>196</v>
      </c>
    </row>
    <row r="1512" spans="1:2" hidden="1" x14ac:dyDescent="0.2">
      <c r="A1512" t="s">
        <v>8219</v>
      </c>
      <c r="B1512">
        <v>405</v>
      </c>
    </row>
    <row r="1513" spans="1:2" hidden="1" x14ac:dyDescent="0.2">
      <c r="A1513" t="s">
        <v>8219</v>
      </c>
      <c r="B1513">
        <v>206</v>
      </c>
    </row>
    <row r="1514" spans="1:2" hidden="1" x14ac:dyDescent="0.2">
      <c r="A1514" t="s">
        <v>8219</v>
      </c>
      <c r="B1514">
        <v>335</v>
      </c>
    </row>
    <row r="1515" spans="1:2" hidden="1" x14ac:dyDescent="0.2">
      <c r="A1515" t="s">
        <v>8219</v>
      </c>
      <c r="B1515">
        <v>215</v>
      </c>
    </row>
    <row r="1516" spans="1:2" hidden="1" x14ac:dyDescent="0.2">
      <c r="A1516" t="s">
        <v>8219</v>
      </c>
      <c r="B1516">
        <v>176</v>
      </c>
    </row>
    <row r="1517" spans="1:2" hidden="1" x14ac:dyDescent="0.2">
      <c r="A1517" t="s">
        <v>8219</v>
      </c>
      <c r="B1517">
        <v>555</v>
      </c>
    </row>
    <row r="1518" spans="1:2" hidden="1" x14ac:dyDescent="0.2">
      <c r="A1518" t="s">
        <v>8219</v>
      </c>
      <c r="B1518">
        <v>116</v>
      </c>
    </row>
    <row r="1519" spans="1:2" hidden="1" x14ac:dyDescent="0.2">
      <c r="A1519" t="s">
        <v>8219</v>
      </c>
      <c r="B1519">
        <v>615</v>
      </c>
    </row>
    <row r="1520" spans="1:2" hidden="1" x14ac:dyDescent="0.2">
      <c r="A1520" t="s">
        <v>8219</v>
      </c>
      <c r="B1520">
        <v>236</v>
      </c>
    </row>
    <row r="1521" spans="1:2" hidden="1" x14ac:dyDescent="0.2">
      <c r="A1521" t="s">
        <v>8219</v>
      </c>
      <c r="B1521">
        <v>145</v>
      </c>
    </row>
    <row r="1522" spans="1:2" hidden="1" x14ac:dyDescent="0.2">
      <c r="A1522" t="s">
        <v>8219</v>
      </c>
      <c r="B1522">
        <v>167</v>
      </c>
    </row>
    <row r="1523" spans="1:2" hidden="1" x14ac:dyDescent="0.2">
      <c r="A1523" t="s">
        <v>8219</v>
      </c>
      <c r="B1523">
        <v>235</v>
      </c>
    </row>
    <row r="1524" spans="1:2" hidden="1" x14ac:dyDescent="0.2">
      <c r="A1524" t="s">
        <v>8219</v>
      </c>
      <c r="B1524">
        <v>452</v>
      </c>
    </row>
    <row r="1525" spans="1:2" hidden="1" x14ac:dyDescent="0.2">
      <c r="A1525" t="s">
        <v>8219</v>
      </c>
      <c r="B1525">
        <v>241</v>
      </c>
    </row>
    <row r="1526" spans="1:2" hidden="1" x14ac:dyDescent="0.2">
      <c r="A1526" t="s">
        <v>8219</v>
      </c>
      <c r="B1526">
        <v>28</v>
      </c>
    </row>
    <row r="1527" spans="1:2" hidden="1" x14ac:dyDescent="0.2">
      <c r="A1527" t="s">
        <v>8219</v>
      </c>
      <c r="B1527">
        <v>140</v>
      </c>
    </row>
    <row r="1528" spans="1:2" hidden="1" x14ac:dyDescent="0.2">
      <c r="A1528" t="s">
        <v>8219</v>
      </c>
      <c r="B1528">
        <v>280</v>
      </c>
    </row>
    <row r="1529" spans="1:2" hidden="1" x14ac:dyDescent="0.2">
      <c r="A1529" t="s">
        <v>8219</v>
      </c>
      <c r="B1529">
        <v>70</v>
      </c>
    </row>
    <row r="1530" spans="1:2" hidden="1" x14ac:dyDescent="0.2">
      <c r="A1530" t="s">
        <v>8219</v>
      </c>
      <c r="B1530">
        <v>160</v>
      </c>
    </row>
    <row r="1531" spans="1:2" hidden="1" x14ac:dyDescent="0.2">
      <c r="A1531" t="s">
        <v>8219</v>
      </c>
      <c r="B1531">
        <v>141</v>
      </c>
    </row>
    <row r="1532" spans="1:2" hidden="1" x14ac:dyDescent="0.2">
      <c r="A1532" t="s">
        <v>8219</v>
      </c>
      <c r="B1532">
        <v>874</v>
      </c>
    </row>
    <row r="1533" spans="1:2" hidden="1" x14ac:dyDescent="0.2">
      <c r="A1533" t="s">
        <v>8219</v>
      </c>
      <c r="B1533">
        <v>73</v>
      </c>
    </row>
    <row r="1534" spans="1:2" hidden="1" x14ac:dyDescent="0.2">
      <c r="A1534" t="s">
        <v>8219</v>
      </c>
      <c r="B1534">
        <v>294</v>
      </c>
    </row>
    <row r="1535" spans="1:2" hidden="1" x14ac:dyDescent="0.2">
      <c r="A1535" t="s">
        <v>8219</v>
      </c>
      <c r="B1535">
        <v>740</v>
      </c>
    </row>
    <row r="1536" spans="1:2" hidden="1" x14ac:dyDescent="0.2">
      <c r="A1536" t="s">
        <v>8219</v>
      </c>
      <c r="B1536">
        <v>369</v>
      </c>
    </row>
    <row r="1537" spans="1:2" hidden="1" x14ac:dyDescent="0.2">
      <c r="A1537" t="s">
        <v>8219</v>
      </c>
      <c r="B1537">
        <v>110</v>
      </c>
    </row>
    <row r="1538" spans="1:2" hidden="1" x14ac:dyDescent="0.2">
      <c r="A1538" t="s">
        <v>8219</v>
      </c>
      <c r="B1538">
        <v>455</v>
      </c>
    </row>
    <row r="1539" spans="1:2" hidden="1" x14ac:dyDescent="0.2">
      <c r="A1539" t="s">
        <v>8219</v>
      </c>
      <c r="B1539">
        <v>224</v>
      </c>
    </row>
    <row r="1540" spans="1:2" hidden="1" x14ac:dyDescent="0.2">
      <c r="A1540" t="s">
        <v>8219</v>
      </c>
      <c r="B1540">
        <v>46</v>
      </c>
    </row>
    <row r="1541" spans="1:2" hidden="1" x14ac:dyDescent="0.2">
      <c r="A1541" t="s">
        <v>8219</v>
      </c>
      <c r="B1541">
        <v>284</v>
      </c>
    </row>
    <row r="1542" spans="1:2" hidden="1" x14ac:dyDescent="0.2">
      <c r="A1542" t="s">
        <v>8219</v>
      </c>
      <c r="B1542">
        <v>98</v>
      </c>
    </row>
    <row r="1543" spans="1:2" x14ac:dyDescent="0.2">
      <c r="A1543" t="s">
        <v>8221</v>
      </c>
      <c r="B1543">
        <v>5</v>
      </c>
    </row>
    <row r="1544" spans="1:2" x14ac:dyDescent="0.2">
      <c r="A1544" t="s">
        <v>8221</v>
      </c>
      <c r="B1544">
        <v>5</v>
      </c>
    </row>
    <row r="1545" spans="1:2" x14ac:dyDescent="0.2">
      <c r="A1545" t="s">
        <v>8221</v>
      </c>
      <c r="B1545">
        <v>5</v>
      </c>
    </row>
    <row r="1546" spans="1:2" x14ac:dyDescent="0.2">
      <c r="A1546" t="s">
        <v>8221</v>
      </c>
      <c r="B1546">
        <v>5</v>
      </c>
    </row>
    <row r="1547" spans="1:2" x14ac:dyDescent="0.2">
      <c r="A1547" t="s">
        <v>8221</v>
      </c>
      <c r="B1547">
        <v>5</v>
      </c>
    </row>
    <row r="1548" spans="1:2" x14ac:dyDescent="0.2">
      <c r="A1548" t="s">
        <v>8221</v>
      </c>
      <c r="B1548">
        <v>5</v>
      </c>
    </row>
    <row r="1549" spans="1:2" x14ac:dyDescent="0.2">
      <c r="A1549" t="s">
        <v>8221</v>
      </c>
      <c r="B1549">
        <v>5</v>
      </c>
    </row>
    <row r="1550" spans="1:2" x14ac:dyDescent="0.2">
      <c r="A1550" t="s">
        <v>8221</v>
      </c>
      <c r="B1550">
        <v>5</v>
      </c>
    </row>
    <row r="1551" spans="1:2" x14ac:dyDescent="0.2">
      <c r="A1551" t="s">
        <v>8221</v>
      </c>
      <c r="B1551">
        <v>5</v>
      </c>
    </row>
    <row r="1552" spans="1:2" x14ac:dyDescent="0.2">
      <c r="A1552" t="s">
        <v>8221</v>
      </c>
      <c r="B1552">
        <v>5</v>
      </c>
    </row>
    <row r="1553" spans="1:2" x14ac:dyDescent="0.2">
      <c r="A1553" t="s">
        <v>8221</v>
      </c>
      <c r="B1553">
        <v>5</v>
      </c>
    </row>
    <row r="1554" spans="1:2" x14ac:dyDescent="0.2">
      <c r="A1554" t="s">
        <v>8221</v>
      </c>
      <c r="B1554">
        <v>5</v>
      </c>
    </row>
    <row r="1555" spans="1:2" x14ac:dyDescent="0.2">
      <c r="A1555" t="s">
        <v>8221</v>
      </c>
      <c r="B1555">
        <v>5</v>
      </c>
    </row>
    <row r="1556" spans="1:2" x14ac:dyDescent="0.2">
      <c r="A1556" t="s">
        <v>8221</v>
      </c>
      <c r="B1556">
        <v>5</v>
      </c>
    </row>
    <row r="1557" spans="1:2" x14ac:dyDescent="0.2">
      <c r="A1557" t="s">
        <v>8221</v>
      </c>
      <c r="B1557">
        <v>5</v>
      </c>
    </row>
    <row r="1558" spans="1:2" x14ac:dyDescent="0.2">
      <c r="A1558" t="s">
        <v>8221</v>
      </c>
      <c r="B1558">
        <v>5</v>
      </c>
    </row>
    <row r="1559" spans="1:2" x14ac:dyDescent="0.2">
      <c r="A1559" t="s">
        <v>8221</v>
      </c>
      <c r="B1559">
        <v>5</v>
      </c>
    </row>
    <row r="1560" spans="1:2" x14ac:dyDescent="0.2">
      <c r="A1560" t="s">
        <v>8221</v>
      </c>
      <c r="B1560">
        <v>5</v>
      </c>
    </row>
    <row r="1561" spans="1:2" x14ac:dyDescent="0.2">
      <c r="A1561" t="s">
        <v>8221</v>
      </c>
      <c r="B1561">
        <v>5</v>
      </c>
    </row>
    <row r="1562" spans="1:2" x14ac:dyDescent="0.2">
      <c r="A1562" t="s">
        <v>8221</v>
      </c>
      <c r="B1562">
        <v>5</v>
      </c>
    </row>
    <row r="1563" spans="1:2" hidden="1" x14ac:dyDescent="0.2">
      <c r="A1563" t="s">
        <v>8220</v>
      </c>
      <c r="B1563">
        <v>1</v>
      </c>
    </row>
    <row r="1564" spans="1:2" hidden="1" x14ac:dyDescent="0.2">
      <c r="A1564" t="s">
        <v>8220</v>
      </c>
      <c r="B1564">
        <v>0</v>
      </c>
    </row>
    <row r="1565" spans="1:2" hidden="1" x14ac:dyDescent="0.2">
      <c r="A1565" t="s">
        <v>8220</v>
      </c>
      <c r="B1565">
        <v>2</v>
      </c>
    </row>
    <row r="1566" spans="1:2" hidden="1" x14ac:dyDescent="0.2">
      <c r="A1566" t="s">
        <v>8220</v>
      </c>
      <c r="B1566">
        <v>1</v>
      </c>
    </row>
    <row r="1567" spans="1:2" hidden="1" x14ac:dyDescent="0.2">
      <c r="A1567" t="s">
        <v>8220</v>
      </c>
      <c r="B1567">
        <v>1</v>
      </c>
    </row>
    <row r="1568" spans="1:2" hidden="1" x14ac:dyDescent="0.2">
      <c r="A1568" t="s">
        <v>8220</v>
      </c>
      <c r="B1568">
        <v>59</v>
      </c>
    </row>
    <row r="1569" spans="1:2" hidden="1" x14ac:dyDescent="0.2">
      <c r="A1569" t="s">
        <v>8220</v>
      </c>
      <c r="B1569">
        <v>13</v>
      </c>
    </row>
    <row r="1570" spans="1:2" hidden="1" x14ac:dyDescent="0.2">
      <c r="A1570" t="s">
        <v>8220</v>
      </c>
      <c r="B1570">
        <v>22</v>
      </c>
    </row>
    <row r="1571" spans="1:2" hidden="1" x14ac:dyDescent="0.2">
      <c r="A1571" t="s">
        <v>8220</v>
      </c>
      <c r="B1571">
        <v>0</v>
      </c>
    </row>
    <row r="1572" spans="1:2" hidden="1" x14ac:dyDescent="0.2">
      <c r="A1572" t="s">
        <v>8220</v>
      </c>
      <c r="B1572">
        <v>52</v>
      </c>
    </row>
    <row r="1573" spans="1:2" hidden="1" x14ac:dyDescent="0.2">
      <c r="A1573" t="s">
        <v>8220</v>
      </c>
      <c r="B1573">
        <v>4</v>
      </c>
    </row>
    <row r="1574" spans="1:2" hidden="1" x14ac:dyDescent="0.2">
      <c r="A1574" t="s">
        <v>8220</v>
      </c>
      <c r="B1574">
        <v>3</v>
      </c>
    </row>
    <row r="1575" spans="1:2" hidden="1" x14ac:dyDescent="0.2">
      <c r="A1575" t="s">
        <v>8220</v>
      </c>
      <c r="B1575">
        <v>3</v>
      </c>
    </row>
    <row r="1576" spans="1:2" hidden="1" x14ac:dyDescent="0.2">
      <c r="A1576" t="s">
        <v>8220</v>
      </c>
      <c r="B1576">
        <v>6</v>
      </c>
    </row>
    <row r="1577" spans="1:2" hidden="1" x14ac:dyDescent="0.2">
      <c r="A1577" t="s">
        <v>8220</v>
      </c>
      <c r="B1577">
        <v>35</v>
      </c>
    </row>
    <row r="1578" spans="1:2" hidden="1" x14ac:dyDescent="0.2">
      <c r="A1578" t="s">
        <v>8220</v>
      </c>
      <c r="B1578">
        <v>10</v>
      </c>
    </row>
    <row r="1579" spans="1:2" hidden="1" x14ac:dyDescent="0.2">
      <c r="A1579" t="s">
        <v>8220</v>
      </c>
      <c r="B1579">
        <v>2</v>
      </c>
    </row>
    <row r="1580" spans="1:2" hidden="1" x14ac:dyDescent="0.2">
      <c r="A1580" t="s">
        <v>8220</v>
      </c>
      <c r="B1580">
        <v>4</v>
      </c>
    </row>
    <row r="1581" spans="1:2" hidden="1" x14ac:dyDescent="0.2">
      <c r="A1581" t="s">
        <v>8220</v>
      </c>
      <c r="B1581">
        <v>2</v>
      </c>
    </row>
    <row r="1582" spans="1:2" hidden="1" x14ac:dyDescent="0.2">
      <c r="A1582" t="s">
        <v>8220</v>
      </c>
      <c r="B1582">
        <v>0</v>
      </c>
    </row>
    <row r="1583" spans="1:2" x14ac:dyDescent="0.2">
      <c r="A1583" t="s">
        <v>8221</v>
      </c>
      <c r="B1583">
        <v>5</v>
      </c>
    </row>
    <row r="1584" spans="1:2" x14ac:dyDescent="0.2">
      <c r="A1584" t="s">
        <v>8221</v>
      </c>
      <c r="B1584">
        <v>5</v>
      </c>
    </row>
    <row r="1585" spans="1:2" x14ac:dyDescent="0.2">
      <c r="A1585" t="s">
        <v>8221</v>
      </c>
      <c r="B1585">
        <v>5</v>
      </c>
    </row>
    <row r="1586" spans="1:2" x14ac:dyDescent="0.2">
      <c r="A1586" t="s">
        <v>8221</v>
      </c>
      <c r="B1586">
        <v>5</v>
      </c>
    </row>
    <row r="1587" spans="1:2" x14ac:dyDescent="0.2">
      <c r="A1587" t="s">
        <v>8221</v>
      </c>
      <c r="B1587">
        <v>5</v>
      </c>
    </row>
    <row r="1588" spans="1:2" x14ac:dyDescent="0.2">
      <c r="A1588" t="s">
        <v>8221</v>
      </c>
      <c r="B1588">
        <v>5</v>
      </c>
    </row>
    <row r="1589" spans="1:2" x14ac:dyDescent="0.2">
      <c r="A1589" t="s">
        <v>8221</v>
      </c>
      <c r="B1589">
        <v>5</v>
      </c>
    </row>
    <row r="1590" spans="1:2" x14ac:dyDescent="0.2">
      <c r="A1590" t="s">
        <v>8221</v>
      </c>
      <c r="B1590">
        <v>5</v>
      </c>
    </row>
    <row r="1591" spans="1:2" x14ac:dyDescent="0.2">
      <c r="A1591" t="s">
        <v>8221</v>
      </c>
      <c r="B1591">
        <v>5</v>
      </c>
    </row>
    <row r="1592" spans="1:2" x14ac:dyDescent="0.2">
      <c r="A1592" t="s">
        <v>8221</v>
      </c>
      <c r="B1592">
        <v>5</v>
      </c>
    </row>
    <row r="1593" spans="1:2" x14ac:dyDescent="0.2">
      <c r="A1593" t="s">
        <v>8221</v>
      </c>
      <c r="B1593">
        <v>5</v>
      </c>
    </row>
    <row r="1594" spans="1:2" x14ac:dyDescent="0.2">
      <c r="A1594" t="s">
        <v>8221</v>
      </c>
      <c r="B1594">
        <v>5</v>
      </c>
    </row>
    <row r="1595" spans="1:2" x14ac:dyDescent="0.2">
      <c r="A1595" t="s">
        <v>8221</v>
      </c>
      <c r="B1595">
        <v>5</v>
      </c>
    </row>
    <row r="1596" spans="1:2" x14ac:dyDescent="0.2">
      <c r="A1596" t="s">
        <v>8221</v>
      </c>
      <c r="B1596">
        <v>5</v>
      </c>
    </row>
    <row r="1597" spans="1:2" x14ac:dyDescent="0.2">
      <c r="A1597" t="s">
        <v>8221</v>
      </c>
      <c r="B1597">
        <v>4</v>
      </c>
    </row>
    <row r="1598" spans="1:2" x14ac:dyDescent="0.2">
      <c r="A1598" t="s">
        <v>8221</v>
      </c>
      <c r="B1598">
        <v>4</v>
      </c>
    </row>
    <row r="1599" spans="1:2" x14ac:dyDescent="0.2">
      <c r="A1599" t="s">
        <v>8221</v>
      </c>
      <c r="B1599">
        <v>4</v>
      </c>
    </row>
    <row r="1600" spans="1:2" x14ac:dyDescent="0.2">
      <c r="A1600" t="s">
        <v>8221</v>
      </c>
      <c r="B1600">
        <v>4</v>
      </c>
    </row>
    <row r="1601" spans="1:2" x14ac:dyDescent="0.2">
      <c r="A1601" t="s">
        <v>8221</v>
      </c>
      <c r="B1601">
        <v>4</v>
      </c>
    </row>
    <row r="1602" spans="1:2" x14ac:dyDescent="0.2">
      <c r="A1602" t="s">
        <v>8221</v>
      </c>
      <c r="B1602">
        <v>4</v>
      </c>
    </row>
    <row r="1603" spans="1:2" hidden="1" x14ac:dyDescent="0.2">
      <c r="A1603" t="s">
        <v>8219</v>
      </c>
      <c r="B1603">
        <v>56</v>
      </c>
    </row>
    <row r="1604" spans="1:2" hidden="1" x14ac:dyDescent="0.2">
      <c r="A1604" t="s">
        <v>8219</v>
      </c>
      <c r="B1604">
        <v>32</v>
      </c>
    </row>
    <row r="1605" spans="1:2" hidden="1" x14ac:dyDescent="0.2">
      <c r="A1605" t="s">
        <v>8219</v>
      </c>
      <c r="B1605">
        <v>30</v>
      </c>
    </row>
    <row r="1606" spans="1:2" hidden="1" x14ac:dyDescent="0.2">
      <c r="A1606" t="s">
        <v>8219</v>
      </c>
      <c r="B1606">
        <v>70</v>
      </c>
    </row>
    <row r="1607" spans="1:2" hidden="1" x14ac:dyDescent="0.2">
      <c r="A1607" t="s">
        <v>8219</v>
      </c>
      <c r="B1607">
        <v>44</v>
      </c>
    </row>
    <row r="1608" spans="1:2" hidden="1" x14ac:dyDescent="0.2">
      <c r="A1608" t="s">
        <v>8219</v>
      </c>
      <c r="B1608">
        <v>92</v>
      </c>
    </row>
    <row r="1609" spans="1:2" hidden="1" x14ac:dyDescent="0.2">
      <c r="A1609" t="s">
        <v>8219</v>
      </c>
      <c r="B1609">
        <v>205</v>
      </c>
    </row>
    <row r="1610" spans="1:2" hidden="1" x14ac:dyDescent="0.2">
      <c r="A1610" t="s">
        <v>8219</v>
      </c>
      <c r="B1610">
        <v>23</v>
      </c>
    </row>
    <row r="1611" spans="1:2" hidden="1" x14ac:dyDescent="0.2">
      <c r="A1611" t="s">
        <v>8219</v>
      </c>
      <c r="B1611">
        <v>4</v>
      </c>
    </row>
    <row r="1612" spans="1:2" hidden="1" x14ac:dyDescent="0.2">
      <c r="A1612" t="s">
        <v>8219</v>
      </c>
      <c r="B1612">
        <v>112</v>
      </c>
    </row>
    <row r="1613" spans="1:2" hidden="1" x14ac:dyDescent="0.2">
      <c r="A1613" t="s">
        <v>8219</v>
      </c>
      <c r="B1613">
        <v>27</v>
      </c>
    </row>
    <row r="1614" spans="1:2" hidden="1" x14ac:dyDescent="0.2">
      <c r="A1614" t="s">
        <v>8219</v>
      </c>
      <c r="B1614">
        <v>11</v>
      </c>
    </row>
    <row r="1615" spans="1:2" hidden="1" x14ac:dyDescent="0.2">
      <c r="A1615" t="s">
        <v>8219</v>
      </c>
      <c r="B1615">
        <v>26</v>
      </c>
    </row>
    <row r="1616" spans="1:2" hidden="1" x14ac:dyDescent="0.2">
      <c r="A1616" t="s">
        <v>8219</v>
      </c>
      <c r="B1616">
        <v>77</v>
      </c>
    </row>
    <row r="1617" spans="1:2" hidden="1" x14ac:dyDescent="0.2">
      <c r="A1617" t="s">
        <v>8219</v>
      </c>
      <c r="B1617">
        <v>136</v>
      </c>
    </row>
    <row r="1618" spans="1:2" hidden="1" x14ac:dyDescent="0.2">
      <c r="A1618" t="s">
        <v>8219</v>
      </c>
      <c r="B1618">
        <v>157</v>
      </c>
    </row>
    <row r="1619" spans="1:2" hidden="1" x14ac:dyDescent="0.2">
      <c r="A1619" t="s">
        <v>8219</v>
      </c>
      <c r="B1619">
        <v>158</v>
      </c>
    </row>
    <row r="1620" spans="1:2" hidden="1" x14ac:dyDescent="0.2">
      <c r="A1620" t="s">
        <v>8219</v>
      </c>
      <c r="B1620">
        <v>27</v>
      </c>
    </row>
    <row r="1621" spans="1:2" hidden="1" x14ac:dyDescent="0.2">
      <c r="A1621" t="s">
        <v>8219</v>
      </c>
      <c r="B1621">
        <v>23</v>
      </c>
    </row>
    <row r="1622" spans="1:2" hidden="1" x14ac:dyDescent="0.2">
      <c r="A1622" t="s">
        <v>8219</v>
      </c>
      <c r="B1622">
        <v>17</v>
      </c>
    </row>
    <row r="1623" spans="1:2" hidden="1" x14ac:dyDescent="0.2">
      <c r="A1623" t="s">
        <v>8219</v>
      </c>
      <c r="B1623">
        <v>37</v>
      </c>
    </row>
    <row r="1624" spans="1:2" hidden="1" x14ac:dyDescent="0.2">
      <c r="A1624" t="s">
        <v>8219</v>
      </c>
      <c r="B1624">
        <v>65</v>
      </c>
    </row>
    <row r="1625" spans="1:2" hidden="1" x14ac:dyDescent="0.2">
      <c r="A1625" t="s">
        <v>8219</v>
      </c>
      <c r="B1625">
        <v>18</v>
      </c>
    </row>
    <row r="1626" spans="1:2" hidden="1" x14ac:dyDescent="0.2">
      <c r="A1626" t="s">
        <v>8219</v>
      </c>
      <c r="B1626">
        <v>25</v>
      </c>
    </row>
    <row r="1627" spans="1:2" hidden="1" x14ac:dyDescent="0.2">
      <c r="A1627" t="s">
        <v>8219</v>
      </c>
      <c r="B1627">
        <v>104</v>
      </c>
    </row>
    <row r="1628" spans="1:2" hidden="1" x14ac:dyDescent="0.2">
      <c r="A1628" t="s">
        <v>8219</v>
      </c>
      <c r="B1628">
        <v>108</v>
      </c>
    </row>
    <row r="1629" spans="1:2" hidden="1" x14ac:dyDescent="0.2">
      <c r="A1629" t="s">
        <v>8219</v>
      </c>
      <c r="B1629">
        <v>38</v>
      </c>
    </row>
    <row r="1630" spans="1:2" hidden="1" x14ac:dyDescent="0.2">
      <c r="A1630" t="s">
        <v>8219</v>
      </c>
      <c r="B1630">
        <v>88</v>
      </c>
    </row>
    <row r="1631" spans="1:2" hidden="1" x14ac:dyDescent="0.2">
      <c r="A1631" t="s">
        <v>8219</v>
      </c>
      <c r="B1631">
        <v>82</v>
      </c>
    </row>
    <row r="1632" spans="1:2" hidden="1" x14ac:dyDescent="0.2">
      <c r="A1632" t="s">
        <v>8219</v>
      </c>
      <c r="B1632">
        <v>126</v>
      </c>
    </row>
    <row r="1633" spans="1:2" hidden="1" x14ac:dyDescent="0.2">
      <c r="A1633" t="s">
        <v>8219</v>
      </c>
      <c r="B1633">
        <v>133</v>
      </c>
    </row>
    <row r="1634" spans="1:2" hidden="1" x14ac:dyDescent="0.2">
      <c r="A1634" t="s">
        <v>8219</v>
      </c>
      <c r="B1634">
        <v>47</v>
      </c>
    </row>
    <row r="1635" spans="1:2" hidden="1" x14ac:dyDescent="0.2">
      <c r="A1635" t="s">
        <v>8219</v>
      </c>
      <c r="B1635">
        <v>58</v>
      </c>
    </row>
    <row r="1636" spans="1:2" hidden="1" x14ac:dyDescent="0.2">
      <c r="A1636" t="s">
        <v>8219</v>
      </c>
      <c r="B1636">
        <v>32</v>
      </c>
    </row>
    <row r="1637" spans="1:2" hidden="1" x14ac:dyDescent="0.2">
      <c r="A1637" t="s">
        <v>8219</v>
      </c>
      <c r="B1637">
        <v>37</v>
      </c>
    </row>
    <row r="1638" spans="1:2" hidden="1" x14ac:dyDescent="0.2">
      <c r="A1638" t="s">
        <v>8219</v>
      </c>
      <c r="B1638">
        <v>87</v>
      </c>
    </row>
    <row r="1639" spans="1:2" hidden="1" x14ac:dyDescent="0.2">
      <c r="A1639" t="s">
        <v>8219</v>
      </c>
      <c r="B1639">
        <v>15</v>
      </c>
    </row>
    <row r="1640" spans="1:2" hidden="1" x14ac:dyDescent="0.2">
      <c r="A1640" t="s">
        <v>8219</v>
      </c>
      <c r="B1640">
        <v>27</v>
      </c>
    </row>
    <row r="1641" spans="1:2" hidden="1" x14ac:dyDescent="0.2">
      <c r="A1641" t="s">
        <v>8219</v>
      </c>
      <c r="B1641">
        <v>19</v>
      </c>
    </row>
    <row r="1642" spans="1:2" hidden="1" x14ac:dyDescent="0.2">
      <c r="A1642" t="s">
        <v>8219</v>
      </c>
      <c r="B1642">
        <v>17</v>
      </c>
    </row>
    <row r="1643" spans="1:2" hidden="1" x14ac:dyDescent="0.2">
      <c r="A1643" t="s">
        <v>8219</v>
      </c>
      <c r="B1643">
        <v>26</v>
      </c>
    </row>
    <row r="1644" spans="1:2" hidden="1" x14ac:dyDescent="0.2">
      <c r="A1644" t="s">
        <v>8219</v>
      </c>
      <c r="B1644">
        <v>28</v>
      </c>
    </row>
    <row r="1645" spans="1:2" hidden="1" x14ac:dyDescent="0.2">
      <c r="A1645" t="s">
        <v>8219</v>
      </c>
      <c r="B1645">
        <v>37</v>
      </c>
    </row>
    <row r="1646" spans="1:2" hidden="1" x14ac:dyDescent="0.2">
      <c r="A1646" t="s">
        <v>8219</v>
      </c>
      <c r="B1646">
        <v>128</v>
      </c>
    </row>
    <row r="1647" spans="1:2" hidden="1" x14ac:dyDescent="0.2">
      <c r="A1647" t="s">
        <v>8219</v>
      </c>
      <c r="B1647">
        <v>10</v>
      </c>
    </row>
    <row r="1648" spans="1:2" hidden="1" x14ac:dyDescent="0.2">
      <c r="A1648" t="s">
        <v>8219</v>
      </c>
      <c r="B1648">
        <v>83</v>
      </c>
    </row>
    <row r="1649" spans="1:2" hidden="1" x14ac:dyDescent="0.2">
      <c r="A1649" t="s">
        <v>8219</v>
      </c>
      <c r="B1649">
        <v>46</v>
      </c>
    </row>
    <row r="1650" spans="1:2" hidden="1" x14ac:dyDescent="0.2">
      <c r="A1650" t="s">
        <v>8219</v>
      </c>
      <c r="B1650">
        <v>90</v>
      </c>
    </row>
    <row r="1651" spans="1:2" hidden="1" x14ac:dyDescent="0.2">
      <c r="A1651" t="s">
        <v>8219</v>
      </c>
      <c r="B1651">
        <v>81</v>
      </c>
    </row>
    <row r="1652" spans="1:2" hidden="1" x14ac:dyDescent="0.2">
      <c r="A1652" t="s">
        <v>8219</v>
      </c>
      <c r="B1652">
        <v>32</v>
      </c>
    </row>
    <row r="1653" spans="1:2" hidden="1" x14ac:dyDescent="0.2">
      <c r="A1653" t="s">
        <v>8219</v>
      </c>
      <c r="B1653">
        <v>20</v>
      </c>
    </row>
    <row r="1654" spans="1:2" hidden="1" x14ac:dyDescent="0.2">
      <c r="A1654" t="s">
        <v>8219</v>
      </c>
      <c r="B1654">
        <v>70</v>
      </c>
    </row>
    <row r="1655" spans="1:2" hidden="1" x14ac:dyDescent="0.2">
      <c r="A1655" t="s">
        <v>8219</v>
      </c>
      <c r="B1655">
        <v>168</v>
      </c>
    </row>
    <row r="1656" spans="1:2" hidden="1" x14ac:dyDescent="0.2">
      <c r="A1656" t="s">
        <v>8219</v>
      </c>
      <c r="B1656">
        <v>34</v>
      </c>
    </row>
    <row r="1657" spans="1:2" hidden="1" x14ac:dyDescent="0.2">
      <c r="A1657" t="s">
        <v>8219</v>
      </c>
      <c r="B1657">
        <v>48</v>
      </c>
    </row>
    <row r="1658" spans="1:2" hidden="1" x14ac:dyDescent="0.2">
      <c r="A1658" t="s">
        <v>8219</v>
      </c>
      <c r="B1658">
        <v>48</v>
      </c>
    </row>
    <row r="1659" spans="1:2" hidden="1" x14ac:dyDescent="0.2">
      <c r="A1659" t="s">
        <v>8219</v>
      </c>
      <c r="B1659">
        <v>221</v>
      </c>
    </row>
    <row r="1660" spans="1:2" hidden="1" x14ac:dyDescent="0.2">
      <c r="A1660" t="s">
        <v>8219</v>
      </c>
      <c r="B1660">
        <v>107</v>
      </c>
    </row>
    <row r="1661" spans="1:2" hidden="1" x14ac:dyDescent="0.2">
      <c r="A1661" t="s">
        <v>8219</v>
      </c>
      <c r="B1661">
        <v>45</v>
      </c>
    </row>
    <row r="1662" spans="1:2" hidden="1" x14ac:dyDescent="0.2">
      <c r="A1662" t="s">
        <v>8219</v>
      </c>
      <c r="B1662">
        <v>36</v>
      </c>
    </row>
    <row r="1663" spans="1:2" hidden="1" x14ac:dyDescent="0.2">
      <c r="A1663" t="s">
        <v>8219</v>
      </c>
      <c r="B1663">
        <v>101</v>
      </c>
    </row>
    <row r="1664" spans="1:2" hidden="1" x14ac:dyDescent="0.2">
      <c r="A1664" t="s">
        <v>8219</v>
      </c>
      <c r="B1664">
        <v>62</v>
      </c>
    </row>
    <row r="1665" spans="1:2" hidden="1" x14ac:dyDescent="0.2">
      <c r="A1665" t="s">
        <v>8219</v>
      </c>
      <c r="B1665">
        <v>32</v>
      </c>
    </row>
    <row r="1666" spans="1:2" hidden="1" x14ac:dyDescent="0.2">
      <c r="A1666" t="s">
        <v>8219</v>
      </c>
      <c r="B1666">
        <v>89</v>
      </c>
    </row>
    <row r="1667" spans="1:2" hidden="1" x14ac:dyDescent="0.2">
      <c r="A1667" t="s">
        <v>8219</v>
      </c>
      <c r="B1667">
        <v>93</v>
      </c>
    </row>
    <row r="1668" spans="1:2" hidden="1" x14ac:dyDescent="0.2">
      <c r="A1668" t="s">
        <v>8219</v>
      </c>
      <c r="B1668">
        <v>98</v>
      </c>
    </row>
    <row r="1669" spans="1:2" hidden="1" x14ac:dyDescent="0.2">
      <c r="A1669" t="s">
        <v>8219</v>
      </c>
      <c r="B1669">
        <v>82</v>
      </c>
    </row>
    <row r="1670" spans="1:2" hidden="1" x14ac:dyDescent="0.2">
      <c r="A1670" t="s">
        <v>8219</v>
      </c>
      <c r="B1670">
        <v>116</v>
      </c>
    </row>
    <row r="1671" spans="1:2" hidden="1" x14ac:dyDescent="0.2">
      <c r="A1671" t="s">
        <v>8219</v>
      </c>
      <c r="B1671">
        <v>52</v>
      </c>
    </row>
    <row r="1672" spans="1:2" hidden="1" x14ac:dyDescent="0.2">
      <c r="A1672" t="s">
        <v>8219</v>
      </c>
      <c r="B1672">
        <v>23</v>
      </c>
    </row>
    <row r="1673" spans="1:2" hidden="1" x14ac:dyDescent="0.2">
      <c r="A1673" t="s">
        <v>8219</v>
      </c>
      <c r="B1673">
        <v>77</v>
      </c>
    </row>
    <row r="1674" spans="1:2" hidden="1" x14ac:dyDescent="0.2">
      <c r="A1674" t="s">
        <v>8219</v>
      </c>
      <c r="B1674">
        <v>49</v>
      </c>
    </row>
    <row r="1675" spans="1:2" hidden="1" x14ac:dyDescent="0.2">
      <c r="A1675" t="s">
        <v>8219</v>
      </c>
      <c r="B1675">
        <v>59</v>
      </c>
    </row>
    <row r="1676" spans="1:2" hidden="1" x14ac:dyDescent="0.2">
      <c r="A1676" t="s">
        <v>8219</v>
      </c>
      <c r="B1676">
        <v>113</v>
      </c>
    </row>
    <row r="1677" spans="1:2" hidden="1" x14ac:dyDescent="0.2">
      <c r="A1677" t="s">
        <v>8219</v>
      </c>
      <c r="B1677">
        <v>34</v>
      </c>
    </row>
    <row r="1678" spans="1:2" hidden="1" x14ac:dyDescent="0.2">
      <c r="A1678" t="s">
        <v>8219</v>
      </c>
      <c r="B1678">
        <v>42</v>
      </c>
    </row>
    <row r="1679" spans="1:2" hidden="1" x14ac:dyDescent="0.2">
      <c r="A1679" t="s">
        <v>8219</v>
      </c>
      <c r="B1679">
        <v>42</v>
      </c>
    </row>
    <row r="1680" spans="1:2" hidden="1" x14ac:dyDescent="0.2">
      <c r="A1680" t="s">
        <v>8219</v>
      </c>
      <c r="B1680">
        <v>49</v>
      </c>
    </row>
    <row r="1681" spans="1:2" hidden="1" x14ac:dyDescent="0.2">
      <c r="A1681" t="s">
        <v>8219</v>
      </c>
      <c r="B1681">
        <v>56</v>
      </c>
    </row>
    <row r="1682" spans="1:2" hidden="1" x14ac:dyDescent="0.2">
      <c r="A1682" t="s">
        <v>8219</v>
      </c>
      <c r="B1682">
        <v>25</v>
      </c>
    </row>
    <row r="1683" spans="1:2" hidden="1" x14ac:dyDescent="0.2">
      <c r="A1683" t="s">
        <v>8222</v>
      </c>
      <c r="B1683">
        <v>884</v>
      </c>
    </row>
    <row r="1684" spans="1:2" hidden="1" x14ac:dyDescent="0.2">
      <c r="A1684" t="s">
        <v>8222</v>
      </c>
      <c r="B1684">
        <v>0</v>
      </c>
    </row>
    <row r="1685" spans="1:2" hidden="1" x14ac:dyDescent="0.2">
      <c r="A1685" t="s">
        <v>8222</v>
      </c>
      <c r="B1685">
        <v>10</v>
      </c>
    </row>
    <row r="1686" spans="1:2" hidden="1" x14ac:dyDescent="0.2">
      <c r="A1686" t="s">
        <v>8222</v>
      </c>
      <c r="B1686">
        <v>101</v>
      </c>
    </row>
    <row r="1687" spans="1:2" hidden="1" x14ac:dyDescent="0.2">
      <c r="A1687" t="s">
        <v>8222</v>
      </c>
      <c r="B1687">
        <v>15</v>
      </c>
    </row>
    <row r="1688" spans="1:2" hidden="1" x14ac:dyDescent="0.2">
      <c r="A1688" t="s">
        <v>8222</v>
      </c>
      <c r="B1688">
        <v>1</v>
      </c>
    </row>
    <row r="1689" spans="1:2" hidden="1" x14ac:dyDescent="0.2">
      <c r="A1689" t="s">
        <v>8222</v>
      </c>
      <c r="B1689">
        <v>39</v>
      </c>
    </row>
    <row r="1690" spans="1:2" hidden="1" x14ac:dyDescent="0.2">
      <c r="A1690" t="s">
        <v>8222</v>
      </c>
      <c r="B1690">
        <v>7</v>
      </c>
    </row>
    <row r="1691" spans="1:2" hidden="1" x14ac:dyDescent="0.2">
      <c r="A1691" t="s">
        <v>8222</v>
      </c>
      <c r="B1691">
        <v>14</v>
      </c>
    </row>
    <row r="1692" spans="1:2" hidden="1" x14ac:dyDescent="0.2">
      <c r="A1692" t="s">
        <v>8222</v>
      </c>
      <c r="B1692">
        <v>11</v>
      </c>
    </row>
    <row r="1693" spans="1:2" hidden="1" x14ac:dyDescent="0.2">
      <c r="A1693" t="s">
        <v>8222</v>
      </c>
      <c r="B1693">
        <v>38</v>
      </c>
    </row>
    <row r="1694" spans="1:2" hidden="1" x14ac:dyDescent="0.2">
      <c r="A1694" t="s">
        <v>8222</v>
      </c>
      <c r="B1694">
        <v>15</v>
      </c>
    </row>
    <row r="1695" spans="1:2" hidden="1" x14ac:dyDescent="0.2">
      <c r="A1695" t="s">
        <v>8222</v>
      </c>
      <c r="B1695">
        <v>8</v>
      </c>
    </row>
    <row r="1696" spans="1:2" hidden="1" x14ac:dyDescent="0.2">
      <c r="A1696" t="s">
        <v>8222</v>
      </c>
      <c r="B1696">
        <v>1</v>
      </c>
    </row>
    <row r="1697" spans="1:2" hidden="1" x14ac:dyDescent="0.2">
      <c r="A1697" t="s">
        <v>8222</v>
      </c>
      <c r="B1697">
        <v>23</v>
      </c>
    </row>
    <row r="1698" spans="1:2" hidden="1" x14ac:dyDescent="0.2">
      <c r="A1698" t="s">
        <v>8222</v>
      </c>
      <c r="B1698">
        <v>0</v>
      </c>
    </row>
    <row r="1699" spans="1:2" hidden="1" x14ac:dyDescent="0.2">
      <c r="A1699" t="s">
        <v>8222</v>
      </c>
      <c r="B1699">
        <v>22</v>
      </c>
    </row>
    <row r="1700" spans="1:2" hidden="1" x14ac:dyDescent="0.2">
      <c r="A1700" t="s">
        <v>8222</v>
      </c>
      <c r="B1700">
        <v>0</v>
      </c>
    </row>
    <row r="1701" spans="1:2" hidden="1" x14ac:dyDescent="0.2">
      <c r="A1701" t="s">
        <v>8222</v>
      </c>
      <c r="B1701">
        <v>4</v>
      </c>
    </row>
    <row r="1702" spans="1:2" hidden="1" x14ac:dyDescent="0.2">
      <c r="A1702" t="s">
        <v>8222</v>
      </c>
      <c r="B1702">
        <v>79</v>
      </c>
    </row>
    <row r="1703" spans="1:2" x14ac:dyDescent="0.2">
      <c r="A1703" t="s">
        <v>8221</v>
      </c>
      <c r="B1703">
        <v>4</v>
      </c>
    </row>
    <row r="1704" spans="1:2" x14ac:dyDescent="0.2">
      <c r="A1704" t="s">
        <v>8221</v>
      </c>
      <c r="B1704">
        <v>4</v>
      </c>
    </row>
    <row r="1705" spans="1:2" x14ac:dyDescent="0.2">
      <c r="A1705" t="s">
        <v>8221</v>
      </c>
      <c r="B1705">
        <v>4</v>
      </c>
    </row>
    <row r="1706" spans="1:2" x14ac:dyDescent="0.2">
      <c r="A1706" t="s">
        <v>8221</v>
      </c>
      <c r="B1706">
        <v>4</v>
      </c>
    </row>
    <row r="1707" spans="1:2" x14ac:dyDescent="0.2">
      <c r="A1707" t="s">
        <v>8221</v>
      </c>
      <c r="B1707">
        <v>4</v>
      </c>
    </row>
    <row r="1708" spans="1:2" x14ac:dyDescent="0.2">
      <c r="A1708" t="s">
        <v>8221</v>
      </c>
      <c r="B1708">
        <v>4</v>
      </c>
    </row>
    <row r="1709" spans="1:2" x14ac:dyDescent="0.2">
      <c r="A1709" t="s">
        <v>8221</v>
      </c>
      <c r="B1709">
        <v>4</v>
      </c>
    </row>
    <row r="1710" spans="1:2" x14ac:dyDescent="0.2">
      <c r="A1710" t="s">
        <v>8221</v>
      </c>
      <c r="B1710">
        <v>4</v>
      </c>
    </row>
    <row r="1711" spans="1:2" x14ac:dyDescent="0.2">
      <c r="A1711" t="s">
        <v>8221</v>
      </c>
      <c r="B1711">
        <v>4</v>
      </c>
    </row>
    <row r="1712" spans="1:2" x14ac:dyDescent="0.2">
      <c r="A1712" t="s">
        <v>8221</v>
      </c>
      <c r="B1712">
        <v>4</v>
      </c>
    </row>
    <row r="1713" spans="1:2" x14ac:dyDescent="0.2">
      <c r="A1713" t="s">
        <v>8221</v>
      </c>
      <c r="B1713">
        <v>4</v>
      </c>
    </row>
    <row r="1714" spans="1:2" x14ac:dyDescent="0.2">
      <c r="A1714" t="s">
        <v>8221</v>
      </c>
      <c r="B1714">
        <v>4</v>
      </c>
    </row>
    <row r="1715" spans="1:2" x14ac:dyDescent="0.2">
      <c r="A1715" t="s">
        <v>8221</v>
      </c>
      <c r="B1715">
        <v>4</v>
      </c>
    </row>
    <row r="1716" spans="1:2" x14ac:dyDescent="0.2">
      <c r="A1716" t="s">
        <v>8221</v>
      </c>
      <c r="B1716">
        <v>4</v>
      </c>
    </row>
    <row r="1717" spans="1:2" x14ac:dyDescent="0.2">
      <c r="A1717" t="s">
        <v>8221</v>
      </c>
      <c r="B1717">
        <v>4</v>
      </c>
    </row>
    <row r="1718" spans="1:2" x14ac:dyDescent="0.2">
      <c r="A1718" t="s">
        <v>8221</v>
      </c>
      <c r="B1718">
        <v>4</v>
      </c>
    </row>
    <row r="1719" spans="1:2" x14ac:dyDescent="0.2">
      <c r="A1719" t="s">
        <v>8221</v>
      </c>
      <c r="B1719">
        <v>4</v>
      </c>
    </row>
    <row r="1720" spans="1:2" x14ac:dyDescent="0.2">
      <c r="A1720" t="s">
        <v>8221</v>
      </c>
      <c r="B1720">
        <v>4</v>
      </c>
    </row>
    <row r="1721" spans="1:2" x14ac:dyDescent="0.2">
      <c r="A1721" t="s">
        <v>8221</v>
      </c>
      <c r="B1721">
        <v>4</v>
      </c>
    </row>
    <row r="1722" spans="1:2" x14ac:dyDescent="0.2">
      <c r="A1722" t="s">
        <v>8221</v>
      </c>
      <c r="B1722">
        <v>4</v>
      </c>
    </row>
    <row r="1723" spans="1:2" x14ac:dyDescent="0.2">
      <c r="A1723" t="s">
        <v>8221</v>
      </c>
      <c r="B1723">
        <v>4</v>
      </c>
    </row>
    <row r="1724" spans="1:2" x14ac:dyDescent="0.2">
      <c r="A1724" t="s">
        <v>8221</v>
      </c>
      <c r="B1724">
        <v>4</v>
      </c>
    </row>
    <row r="1725" spans="1:2" x14ac:dyDescent="0.2">
      <c r="A1725" t="s">
        <v>8221</v>
      </c>
      <c r="B1725">
        <v>4</v>
      </c>
    </row>
    <row r="1726" spans="1:2" x14ac:dyDescent="0.2">
      <c r="A1726" t="s">
        <v>8221</v>
      </c>
      <c r="B1726">
        <v>4</v>
      </c>
    </row>
    <row r="1727" spans="1:2" x14ac:dyDescent="0.2">
      <c r="A1727" t="s">
        <v>8221</v>
      </c>
      <c r="B1727">
        <v>4</v>
      </c>
    </row>
    <row r="1728" spans="1:2" x14ac:dyDescent="0.2">
      <c r="A1728" t="s">
        <v>8221</v>
      </c>
      <c r="B1728">
        <v>4</v>
      </c>
    </row>
    <row r="1729" spans="1:2" x14ac:dyDescent="0.2">
      <c r="A1729" t="s">
        <v>8221</v>
      </c>
      <c r="B1729">
        <v>4</v>
      </c>
    </row>
    <row r="1730" spans="1:2" x14ac:dyDescent="0.2">
      <c r="A1730" t="s">
        <v>8221</v>
      </c>
      <c r="B1730">
        <v>4</v>
      </c>
    </row>
    <row r="1731" spans="1:2" x14ac:dyDescent="0.2">
      <c r="A1731" t="s">
        <v>8221</v>
      </c>
      <c r="B1731">
        <v>4</v>
      </c>
    </row>
    <row r="1732" spans="1:2" x14ac:dyDescent="0.2">
      <c r="A1732" t="s">
        <v>8221</v>
      </c>
      <c r="B1732">
        <v>4</v>
      </c>
    </row>
    <row r="1733" spans="1:2" x14ac:dyDescent="0.2">
      <c r="A1733" t="s">
        <v>8221</v>
      </c>
      <c r="B1733">
        <v>4</v>
      </c>
    </row>
    <row r="1734" spans="1:2" x14ac:dyDescent="0.2">
      <c r="A1734" t="s">
        <v>8221</v>
      </c>
      <c r="B1734">
        <v>4</v>
      </c>
    </row>
    <row r="1735" spans="1:2" x14ac:dyDescent="0.2">
      <c r="A1735" t="s">
        <v>8221</v>
      </c>
      <c r="B1735">
        <v>4</v>
      </c>
    </row>
    <row r="1736" spans="1:2" x14ac:dyDescent="0.2">
      <c r="A1736" t="s">
        <v>8221</v>
      </c>
      <c r="B1736">
        <v>4</v>
      </c>
    </row>
    <row r="1737" spans="1:2" x14ac:dyDescent="0.2">
      <c r="A1737" t="s">
        <v>8221</v>
      </c>
      <c r="B1737">
        <v>4</v>
      </c>
    </row>
    <row r="1738" spans="1:2" x14ac:dyDescent="0.2">
      <c r="A1738" t="s">
        <v>8221</v>
      </c>
      <c r="B1738">
        <v>4</v>
      </c>
    </row>
    <row r="1739" spans="1:2" x14ac:dyDescent="0.2">
      <c r="A1739" t="s">
        <v>8221</v>
      </c>
      <c r="B1739">
        <v>4</v>
      </c>
    </row>
    <row r="1740" spans="1:2" x14ac:dyDescent="0.2">
      <c r="A1740" t="s">
        <v>8221</v>
      </c>
      <c r="B1740">
        <v>4</v>
      </c>
    </row>
    <row r="1741" spans="1:2" x14ac:dyDescent="0.2">
      <c r="A1741" t="s">
        <v>8221</v>
      </c>
      <c r="B1741">
        <v>4</v>
      </c>
    </row>
    <row r="1742" spans="1:2" x14ac:dyDescent="0.2">
      <c r="A1742" t="s">
        <v>8221</v>
      </c>
      <c r="B1742">
        <v>4</v>
      </c>
    </row>
    <row r="1743" spans="1:2" hidden="1" x14ac:dyDescent="0.2">
      <c r="A1743" t="s">
        <v>8219</v>
      </c>
      <c r="B1743">
        <v>52</v>
      </c>
    </row>
    <row r="1744" spans="1:2" hidden="1" x14ac:dyDescent="0.2">
      <c r="A1744" t="s">
        <v>8219</v>
      </c>
      <c r="B1744">
        <v>34</v>
      </c>
    </row>
    <row r="1745" spans="1:2" hidden="1" x14ac:dyDescent="0.2">
      <c r="A1745" t="s">
        <v>8219</v>
      </c>
      <c r="B1745">
        <v>67</v>
      </c>
    </row>
    <row r="1746" spans="1:2" hidden="1" x14ac:dyDescent="0.2">
      <c r="A1746" t="s">
        <v>8219</v>
      </c>
      <c r="B1746">
        <v>70</v>
      </c>
    </row>
    <row r="1747" spans="1:2" hidden="1" x14ac:dyDescent="0.2">
      <c r="A1747" t="s">
        <v>8219</v>
      </c>
      <c r="B1747">
        <v>89</v>
      </c>
    </row>
    <row r="1748" spans="1:2" hidden="1" x14ac:dyDescent="0.2">
      <c r="A1748" t="s">
        <v>8219</v>
      </c>
      <c r="B1748">
        <v>107</v>
      </c>
    </row>
    <row r="1749" spans="1:2" hidden="1" x14ac:dyDescent="0.2">
      <c r="A1749" t="s">
        <v>8219</v>
      </c>
      <c r="B1749">
        <v>159</v>
      </c>
    </row>
    <row r="1750" spans="1:2" hidden="1" x14ac:dyDescent="0.2">
      <c r="A1750" t="s">
        <v>8219</v>
      </c>
      <c r="B1750">
        <v>181</v>
      </c>
    </row>
    <row r="1751" spans="1:2" hidden="1" x14ac:dyDescent="0.2">
      <c r="A1751" t="s">
        <v>8219</v>
      </c>
      <c r="B1751">
        <v>131</v>
      </c>
    </row>
    <row r="1752" spans="1:2" hidden="1" x14ac:dyDescent="0.2">
      <c r="A1752" t="s">
        <v>8219</v>
      </c>
      <c r="B1752">
        <v>125</v>
      </c>
    </row>
    <row r="1753" spans="1:2" hidden="1" x14ac:dyDescent="0.2">
      <c r="A1753" t="s">
        <v>8219</v>
      </c>
      <c r="B1753">
        <v>61</v>
      </c>
    </row>
    <row r="1754" spans="1:2" hidden="1" x14ac:dyDescent="0.2">
      <c r="A1754" t="s">
        <v>8219</v>
      </c>
      <c r="B1754">
        <v>90</v>
      </c>
    </row>
    <row r="1755" spans="1:2" hidden="1" x14ac:dyDescent="0.2">
      <c r="A1755" t="s">
        <v>8219</v>
      </c>
      <c r="B1755">
        <v>35</v>
      </c>
    </row>
    <row r="1756" spans="1:2" hidden="1" x14ac:dyDescent="0.2">
      <c r="A1756" t="s">
        <v>8219</v>
      </c>
      <c r="B1756">
        <v>90</v>
      </c>
    </row>
    <row r="1757" spans="1:2" hidden="1" x14ac:dyDescent="0.2">
      <c r="A1757" t="s">
        <v>8219</v>
      </c>
      <c r="B1757">
        <v>4</v>
      </c>
    </row>
    <row r="1758" spans="1:2" hidden="1" x14ac:dyDescent="0.2">
      <c r="A1758" t="s">
        <v>8219</v>
      </c>
      <c r="B1758">
        <v>120</v>
      </c>
    </row>
    <row r="1759" spans="1:2" hidden="1" x14ac:dyDescent="0.2">
      <c r="A1759" t="s">
        <v>8219</v>
      </c>
      <c r="B1759">
        <v>14</v>
      </c>
    </row>
    <row r="1760" spans="1:2" hidden="1" x14ac:dyDescent="0.2">
      <c r="A1760" t="s">
        <v>8219</v>
      </c>
      <c r="B1760">
        <v>27</v>
      </c>
    </row>
    <row r="1761" spans="1:2" hidden="1" x14ac:dyDescent="0.2">
      <c r="A1761" t="s">
        <v>8219</v>
      </c>
      <c r="B1761">
        <v>49</v>
      </c>
    </row>
    <row r="1762" spans="1:2" hidden="1" x14ac:dyDescent="0.2">
      <c r="A1762" t="s">
        <v>8219</v>
      </c>
      <c r="B1762">
        <v>102</v>
      </c>
    </row>
    <row r="1763" spans="1:2" hidden="1" x14ac:dyDescent="0.2">
      <c r="A1763" t="s">
        <v>8219</v>
      </c>
      <c r="B1763">
        <v>3</v>
      </c>
    </row>
    <row r="1764" spans="1:2" hidden="1" x14ac:dyDescent="0.2">
      <c r="A1764" t="s">
        <v>8219</v>
      </c>
      <c r="B1764">
        <v>25</v>
      </c>
    </row>
    <row r="1765" spans="1:2" hidden="1" x14ac:dyDescent="0.2">
      <c r="A1765" t="s">
        <v>8219</v>
      </c>
      <c r="B1765">
        <v>118</v>
      </c>
    </row>
    <row r="1766" spans="1:2" x14ac:dyDescent="0.2">
      <c r="A1766" t="s">
        <v>8221</v>
      </c>
      <c r="B1766">
        <v>4</v>
      </c>
    </row>
    <row r="1767" spans="1:2" x14ac:dyDescent="0.2">
      <c r="A1767" t="s">
        <v>8221</v>
      </c>
      <c r="B1767">
        <v>4</v>
      </c>
    </row>
    <row r="1768" spans="1:2" x14ac:dyDescent="0.2">
      <c r="A1768" t="s">
        <v>8221</v>
      </c>
      <c r="B1768">
        <v>4</v>
      </c>
    </row>
    <row r="1769" spans="1:2" x14ac:dyDescent="0.2">
      <c r="A1769" t="s">
        <v>8221</v>
      </c>
      <c r="B1769">
        <v>4</v>
      </c>
    </row>
    <row r="1770" spans="1:2" x14ac:dyDescent="0.2">
      <c r="A1770" t="s">
        <v>8221</v>
      </c>
      <c r="B1770">
        <v>4</v>
      </c>
    </row>
    <row r="1771" spans="1:2" x14ac:dyDescent="0.2">
      <c r="A1771" t="s">
        <v>8221</v>
      </c>
      <c r="B1771">
        <v>4</v>
      </c>
    </row>
    <row r="1772" spans="1:2" x14ac:dyDescent="0.2">
      <c r="A1772" t="s">
        <v>8221</v>
      </c>
      <c r="B1772">
        <v>4</v>
      </c>
    </row>
    <row r="1773" spans="1:2" x14ac:dyDescent="0.2">
      <c r="A1773" t="s">
        <v>8221</v>
      </c>
      <c r="B1773">
        <v>4</v>
      </c>
    </row>
    <row r="1774" spans="1:2" x14ac:dyDescent="0.2">
      <c r="A1774" t="s">
        <v>8221</v>
      </c>
      <c r="B1774">
        <v>4</v>
      </c>
    </row>
    <row r="1775" spans="1:2" x14ac:dyDescent="0.2">
      <c r="A1775" t="s">
        <v>8221</v>
      </c>
      <c r="B1775">
        <v>4</v>
      </c>
    </row>
    <row r="1776" spans="1:2" x14ac:dyDescent="0.2">
      <c r="A1776" t="s">
        <v>8221</v>
      </c>
      <c r="B1776">
        <v>4</v>
      </c>
    </row>
    <row r="1777" spans="1:2" x14ac:dyDescent="0.2">
      <c r="A1777" t="s">
        <v>8221</v>
      </c>
      <c r="B1777">
        <v>4</v>
      </c>
    </row>
    <row r="1778" spans="1:2" x14ac:dyDescent="0.2">
      <c r="A1778" t="s">
        <v>8221</v>
      </c>
      <c r="B1778">
        <v>4</v>
      </c>
    </row>
    <row r="1779" spans="1:2" x14ac:dyDescent="0.2">
      <c r="A1779" t="s">
        <v>8221</v>
      </c>
      <c r="B1779">
        <v>4</v>
      </c>
    </row>
    <row r="1780" spans="1:2" x14ac:dyDescent="0.2">
      <c r="A1780" t="s">
        <v>8221</v>
      </c>
      <c r="B1780">
        <v>4</v>
      </c>
    </row>
    <row r="1781" spans="1:2" x14ac:dyDescent="0.2">
      <c r="A1781" t="s">
        <v>8221</v>
      </c>
      <c r="B1781">
        <v>4</v>
      </c>
    </row>
    <row r="1782" spans="1:2" x14ac:dyDescent="0.2">
      <c r="A1782" t="s">
        <v>8221</v>
      </c>
      <c r="B1782">
        <v>4</v>
      </c>
    </row>
    <row r="1783" spans="1:2" x14ac:dyDescent="0.2">
      <c r="A1783" t="s">
        <v>8221</v>
      </c>
      <c r="B1783">
        <v>4</v>
      </c>
    </row>
    <row r="1784" spans="1:2" x14ac:dyDescent="0.2">
      <c r="A1784" t="s">
        <v>8221</v>
      </c>
      <c r="B1784">
        <v>4</v>
      </c>
    </row>
    <row r="1785" spans="1:2" x14ac:dyDescent="0.2">
      <c r="A1785" t="s">
        <v>8221</v>
      </c>
      <c r="B1785">
        <v>4</v>
      </c>
    </row>
    <row r="1786" spans="1:2" x14ac:dyDescent="0.2">
      <c r="A1786" t="s">
        <v>8221</v>
      </c>
      <c r="B1786">
        <v>4</v>
      </c>
    </row>
    <row r="1787" spans="1:2" x14ac:dyDescent="0.2">
      <c r="A1787" t="s">
        <v>8221</v>
      </c>
      <c r="B1787">
        <v>4</v>
      </c>
    </row>
    <row r="1788" spans="1:2" x14ac:dyDescent="0.2">
      <c r="A1788" t="s">
        <v>8221</v>
      </c>
      <c r="B1788">
        <v>4</v>
      </c>
    </row>
    <row r="1789" spans="1:2" x14ac:dyDescent="0.2">
      <c r="A1789" t="s">
        <v>8221</v>
      </c>
      <c r="B1789">
        <v>4</v>
      </c>
    </row>
    <row r="1790" spans="1:2" x14ac:dyDescent="0.2">
      <c r="A1790" t="s">
        <v>8221</v>
      </c>
      <c r="B1790">
        <v>4</v>
      </c>
    </row>
    <row r="1791" spans="1:2" x14ac:dyDescent="0.2">
      <c r="A1791" t="s">
        <v>8221</v>
      </c>
      <c r="B1791">
        <v>4</v>
      </c>
    </row>
    <row r="1792" spans="1:2" x14ac:dyDescent="0.2">
      <c r="A1792" t="s">
        <v>8221</v>
      </c>
      <c r="B1792">
        <v>4</v>
      </c>
    </row>
    <row r="1793" spans="1:2" x14ac:dyDescent="0.2">
      <c r="A1793" t="s">
        <v>8221</v>
      </c>
      <c r="B1793">
        <v>4</v>
      </c>
    </row>
    <row r="1794" spans="1:2" x14ac:dyDescent="0.2">
      <c r="A1794" t="s">
        <v>8221</v>
      </c>
      <c r="B1794">
        <v>4</v>
      </c>
    </row>
    <row r="1795" spans="1:2" x14ac:dyDescent="0.2">
      <c r="A1795" t="s">
        <v>8221</v>
      </c>
      <c r="B1795">
        <v>4</v>
      </c>
    </row>
    <row r="1796" spans="1:2" x14ac:dyDescent="0.2">
      <c r="A1796" t="s">
        <v>8221</v>
      </c>
      <c r="B1796">
        <v>4</v>
      </c>
    </row>
    <row r="1797" spans="1:2" x14ac:dyDescent="0.2">
      <c r="A1797" t="s">
        <v>8221</v>
      </c>
      <c r="B1797">
        <v>4</v>
      </c>
    </row>
    <row r="1798" spans="1:2" x14ac:dyDescent="0.2">
      <c r="A1798" t="s">
        <v>8221</v>
      </c>
      <c r="B1798">
        <v>4</v>
      </c>
    </row>
    <row r="1799" spans="1:2" x14ac:dyDescent="0.2">
      <c r="A1799" t="s">
        <v>8221</v>
      </c>
      <c r="B1799">
        <v>4</v>
      </c>
    </row>
    <row r="1800" spans="1:2" x14ac:dyDescent="0.2">
      <c r="A1800" t="s">
        <v>8221</v>
      </c>
      <c r="B1800">
        <v>4</v>
      </c>
    </row>
    <row r="1801" spans="1:2" x14ac:dyDescent="0.2">
      <c r="A1801" t="s">
        <v>8221</v>
      </c>
      <c r="B1801">
        <v>4</v>
      </c>
    </row>
    <row r="1802" spans="1:2" x14ac:dyDescent="0.2">
      <c r="A1802" t="s">
        <v>8221</v>
      </c>
      <c r="B1802">
        <v>4</v>
      </c>
    </row>
    <row r="1803" spans="1:2" x14ac:dyDescent="0.2">
      <c r="A1803" t="s">
        <v>8221</v>
      </c>
      <c r="B1803">
        <v>4</v>
      </c>
    </row>
    <row r="1804" spans="1:2" x14ac:dyDescent="0.2">
      <c r="A1804" t="s">
        <v>8221</v>
      </c>
      <c r="B1804">
        <v>4</v>
      </c>
    </row>
    <row r="1805" spans="1:2" x14ac:dyDescent="0.2">
      <c r="A1805" t="s">
        <v>8221</v>
      </c>
      <c r="B1805">
        <v>4</v>
      </c>
    </row>
    <row r="1806" spans="1:2" x14ac:dyDescent="0.2">
      <c r="A1806" t="s">
        <v>8221</v>
      </c>
      <c r="B1806">
        <v>4</v>
      </c>
    </row>
    <row r="1807" spans="1:2" x14ac:dyDescent="0.2">
      <c r="A1807" t="s">
        <v>8221</v>
      </c>
      <c r="B1807">
        <v>4</v>
      </c>
    </row>
    <row r="1808" spans="1:2" x14ac:dyDescent="0.2">
      <c r="A1808" t="s">
        <v>8221</v>
      </c>
      <c r="B1808">
        <v>4</v>
      </c>
    </row>
    <row r="1809" spans="1:2" x14ac:dyDescent="0.2">
      <c r="A1809" t="s">
        <v>8221</v>
      </c>
      <c r="B1809">
        <v>4</v>
      </c>
    </row>
    <row r="1810" spans="1:2" x14ac:dyDescent="0.2">
      <c r="A1810" t="s">
        <v>8221</v>
      </c>
      <c r="B1810">
        <v>4</v>
      </c>
    </row>
    <row r="1811" spans="1:2" x14ac:dyDescent="0.2">
      <c r="A1811" t="s">
        <v>8221</v>
      </c>
      <c r="B1811">
        <v>4</v>
      </c>
    </row>
    <row r="1812" spans="1:2" x14ac:dyDescent="0.2">
      <c r="A1812" t="s">
        <v>8221</v>
      </c>
      <c r="B1812">
        <v>4</v>
      </c>
    </row>
    <row r="1813" spans="1:2" x14ac:dyDescent="0.2">
      <c r="A1813" t="s">
        <v>8221</v>
      </c>
      <c r="B1813">
        <v>4</v>
      </c>
    </row>
    <row r="1814" spans="1:2" x14ac:dyDescent="0.2">
      <c r="A1814" t="s">
        <v>8221</v>
      </c>
      <c r="B1814">
        <v>4</v>
      </c>
    </row>
    <row r="1815" spans="1:2" x14ac:dyDescent="0.2">
      <c r="A1815" t="s">
        <v>8221</v>
      </c>
      <c r="B1815">
        <v>4</v>
      </c>
    </row>
    <row r="1816" spans="1:2" x14ac:dyDescent="0.2">
      <c r="A1816" t="s">
        <v>8221</v>
      </c>
      <c r="B1816">
        <v>4</v>
      </c>
    </row>
    <row r="1817" spans="1:2" x14ac:dyDescent="0.2">
      <c r="A1817" t="s">
        <v>8221</v>
      </c>
      <c r="B1817">
        <v>4</v>
      </c>
    </row>
    <row r="1818" spans="1:2" x14ac:dyDescent="0.2">
      <c r="A1818" t="s">
        <v>8221</v>
      </c>
      <c r="B1818">
        <v>3</v>
      </c>
    </row>
    <row r="1819" spans="1:2" x14ac:dyDescent="0.2">
      <c r="A1819" t="s">
        <v>8221</v>
      </c>
      <c r="B1819">
        <v>3</v>
      </c>
    </row>
    <row r="1820" spans="1:2" x14ac:dyDescent="0.2">
      <c r="A1820" t="s">
        <v>8221</v>
      </c>
      <c r="B1820">
        <v>3</v>
      </c>
    </row>
    <row r="1821" spans="1:2" x14ac:dyDescent="0.2">
      <c r="A1821" t="s">
        <v>8221</v>
      </c>
      <c r="B1821">
        <v>3</v>
      </c>
    </row>
    <row r="1822" spans="1:2" x14ac:dyDescent="0.2">
      <c r="A1822" t="s">
        <v>8221</v>
      </c>
      <c r="B1822">
        <v>3</v>
      </c>
    </row>
    <row r="1823" spans="1:2" hidden="1" x14ac:dyDescent="0.2">
      <c r="A1823" t="s">
        <v>8219</v>
      </c>
      <c r="B1823">
        <v>57</v>
      </c>
    </row>
    <row r="1824" spans="1:2" hidden="1" x14ac:dyDescent="0.2">
      <c r="A1824" t="s">
        <v>8219</v>
      </c>
      <c r="B1824">
        <v>11</v>
      </c>
    </row>
    <row r="1825" spans="1:2" hidden="1" x14ac:dyDescent="0.2">
      <c r="A1825" t="s">
        <v>8219</v>
      </c>
      <c r="B1825">
        <v>33</v>
      </c>
    </row>
    <row r="1826" spans="1:2" hidden="1" x14ac:dyDescent="0.2">
      <c r="A1826" t="s">
        <v>8219</v>
      </c>
      <c r="B1826">
        <v>40</v>
      </c>
    </row>
    <row r="1827" spans="1:2" hidden="1" x14ac:dyDescent="0.2">
      <c r="A1827" t="s">
        <v>8219</v>
      </c>
      <c r="B1827">
        <v>50</v>
      </c>
    </row>
    <row r="1828" spans="1:2" hidden="1" x14ac:dyDescent="0.2">
      <c r="A1828" t="s">
        <v>8219</v>
      </c>
      <c r="B1828">
        <v>38</v>
      </c>
    </row>
    <row r="1829" spans="1:2" hidden="1" x14ac:dyDescent="0.2">
      <c r="A1829" t="s">
        <v>8219</v>
      </c>
      <c r="B1829">
        <v>96</v>
      </c>
    </row>
    <row r="1830" spans="1:2" hidden="1" x14ac:dyDescent="0.2">
      <c r="A1830" t="s">
        <v>8219</v>
      </c>
      <c r="B1830">
        <v>48</v>
      </c>
    </row>
    <row r="1831" spans="1:2" hidden="1" x14ac:dyDescent="0.2">
      <c r="A1831" t="s">
        <v>8219</v>
      </c>
      <c r="B1831">
        <v>33</v>
      </c>
    </row>
    <row r="1832" spans="1:2" hidden="1" x14ac:dyDescent="0.2">
      <c r="A1832" t="s">
        <v>8219</v>
      </c>
      <c r="B1832">
        <v>226</v>
      </c>
    </row>
    <row r="1833" spans="1:2" hidden="1" x14ac:dyDescent="0.2">
      <c r="A1833" t="s">
        <v>8219</v>
      </c>
      <c r="B1833">
        <v>14</v>
      </c>
    </row>
    <row r="1834" spans="1:2" hidden="1" x14ac:dyDescent="0.2">
      <c r="A1834" t="s">
        <v>8219</v>
      </c>
      <c r="B1834">
        <v>20</v>
      </c>
    </row>
    <row r="1835" spans="1:2" hidden="1" x14ac:dyDescent="0.2">
      <c r="A1835" t="s">
        <v>8219</v>
      </c>
      <c r="B1835">
        <v>25</v>
      </c>
    </row>
    <row r="1836" spans="1:2" hidden="1" x14ac:dyDescent="0.2">
      <c r="A1836" t="s">
        <v>8219</v>
      </c>
      <c r="B1836">
        <v>90</v>
      </c>
    </row>
    <row r="1837" spans="1:2" hidden="1" x14ac:dyDescent="0.2">
      <c r="A1837" t="s">
        <v>8219</v>
      </c>
      <c r="B1837">
        <v>11</v>
      </c>
    </row>
    <row r="1838" spans="1:2" hidden="1" x14ac:dyDescent="0.2">
      <c r="A1838" t="s">
        <v>8219</v>
      </c>
      <c r="B1838">
        <v>55</v>
      </c>
    </row>
    <row r="1839" spans="1:2" hidden="1" x14ac:dyDescent="0.2">
      <c r="A1839" t="s">
        <v>8219</v>
      </c>
      <c r="B1839">
        <v>30</v>
      </c>
    </row>
    <row r="1840" spans="1:2" hidden="1" x14ac:dyDescent="0.2">
      <c r="A1840" t="s">
        <v>8219</v>
      </c>
      <c r="B1840">
        <v>28</v>
      </c>
    </row>
    <row r="1841" spans="1:2" hidden="1" x14ac:dyDescent="0.2">
      <c r="A1841" t="s">
        <v>8219</v>
      </c>
      <c r="B1841">
        <v>45</v>
      </c>
    </row>
    <row r="1842" spans="1:2" hidden="1" x14ac:dyDescent="0.2">
      <c r="A1842" t="s">
        <v>8219</v>
      </c>
      <c r="B1842">
        <v>13</v>
      </c>
    </row>
    <row r="1843" spans="1:2" hidden="1" x14ac:dyDescent="0.2">
      <c r="A1843" t="s">
        <v>8219</v>
      </c>
      <c r="B1843">
        <v>40</v>
      </c>
    </row>
    <row r="1844" spans="1:2" hidden="1" x14ac:dyDescent="0.2">
      <c r="A1844" t="s">
        <v>8219</v>
      </c>
      <c r="B1844">
        <v>21</v>
      </c>
    </row>
    <row r="1845" spans="1:2" hidden="1" x14ac:dyDescent="0.2">
      <c r="A1845" t="s">
        <v>8219</v>
      </c>
      <c r="B1845">
        <v>134</v>
      </c>
    </row>
    <row r="1846" spans="1:2" hidden="1" x14ac:dyDescent="0.2">
      <c r="A1846" t="s">
        <v>8219</v>
      </c>
      <c r="B1846">
        <v>20</v>
      </c>
    </row>
    <row r="1847" spans="1:2" hidden="1" x14ac:dyDescent="0.2">
      <c r="A1847" t="s">
        <v>8219</v>
      </c>
      <c r="B1847">
        <v>19</v>
      </c>
    </row>
    <row r="1848" spans="1:2" hidden="1" x14ac:dyDescent="0.2">
      <c r="A1848" t="s">
        <v>8219</v>
      </c>
      <c r="B1848">
        <v>209</v>
      </c>
    </row>
    <row r="1849" spans="1:2" hidden="1" x14ac:dyDescent="0.2">
      <c r="A1849" t="s">
        <v>8219</v>
      </c>
      <c r="B1849">
        <v>38</v>
      </c>
    </row>
    <row r="1850" spans="1:2" hidden="1" x14ac:dyDescent="0.2">
      <c r="A1850" t="s">
        <v>8219</v>
      </c>
      <c r="B1850">
        <v>24</v>
      </c>
    </row>
    <row r="1851" spans="1:2" hidden="1" x14ac:dyDescent="0.2">
      <c r="A1851" t="s">
        <v>8219</v>
      </c>
      <c r="B1851">
        <v>8</v>
      </c>
    </row>
    <row r="1852" spans="1:2" hidden="1" x14ac:dyDescent="0.2">
      <c r="A1852" t="s">
        <v>8219</v>
      </c>
      <c r="B1852">
        <v>179</v>
      </c>
    </row>
    <row r="1853" spans="1:2" hidden="1" x14ac:dyDescent="0.2">
      <c r="A1853" t="s">
        <v>8219</v>
      </c>
      <c r="B1853">
        <v>26</v>
      </c>
    </row>
    <row r="1854" spans="1:2" hidden="1" x14ac:dyDescent="0.2">
      <c r="A1854" t="s">
        <v>8219</v>
      </c>
      <c r="B1854">
        <v>131</v>
      </c>
    </row>
    <row r="1855" spans="1:2" hidden="1" x14ac:dyDescent="0.2">
      <c r="A1855" t="s">
        <v>8219</v>
      </c>
      <c r="B1855">
        <v>14</v>
      </c>
    </row>
    <row r="1856" spans="1:2" hidden="1" x14ac:dyDescent="0.2">
      <c r="A1856" t="s">
        <v>8219</v>
      </c>
      <c r="B1856">
        <v>174</v>
      </c>
    </row>
    <row r="1857" spans="1:2" hidden="1" x14ac:dyDescent="0.2">
      <c r="A1857" t="s">
        <v>8219</v>
      </c>
      <c r="B1857">
        <v>191</v>
      </c>
    </row>
    <row r="1858" spans="1:2" hidden="1" x14ac:dyDescent="0.2">
      <c r="A1858" t="s">
        <v>8219</v>
      </c>
      <c r="B1858">
        <v>38</v>
      </c>
    </row>
    <row r="1859" spans="1:2" hidden="1" x14ac:dyDescent="0.2">
      <c r="A1859" t="s">
        <v>8219</v>
      </c>
      <c r="B1859">
        <v>22</v>
      </c>
    </row>
    <row r="1860" spans="1:2" hidden="1" x14ac:dyDescent="0.2">
      <c r="A1860" t="s">
        <v>8219</v>
      </c>
      <c r="B1860">
        <v>149</v>
      </c>
    </row>
    <row r="1861" spans="1:2" hidden="1" x14ac:dyDescent="0.2">
      <c r="A1861" t="s">
        <v>8219</v>
      </c>
      <c r="B1861">
        <v>56</v>
      </c>
    </row>
    <row r="1862" spans="1:2" hidden="1" x14ac:dyDescent="0.2">
      <c r="A1862" t="s">
        <v>8219</v>
      </c>
      <c r="B1862">
        <v>19</v>
      </c>
    </row>
    <row r="1863" spans="1:2" x14ac:dyDescent="0.2">
      <c r="A1863" t="s">
        <v>8221</v>
      </c>
      <c r="B1863">
        <v>3</v>
      </c>
    </row>
    <row r="1864" spans="1:2" x14ac:dyDescent="0.2">
      <c r="A1864" t="s">
        <v>8221</v>
      </c>
      <c r="B1864">
        <v>3</v>
      </c>
    </row>
    <row r="1865" spans="1:2" x14ac:dyDescent="0.2">
      <c r="A1865" t="s">
        <v>8221</v>
      </c>
      <c r="B1865">
        <v>3</v>
      </c>
    </row>
    <row r="1866" spans="1:2" x14ac:dyDescent="0.2">
      <c r="A1866" t="s">
        <v>8221</v>
      </c>
      <c r="B1866">
        <v>3</v>
      </c>
    </row>
    <row r="1867" spans="1:2" x14ac:dyDescent="0.2">
      <c r="A1867" t="s">
        <v>8221</v>
      </c>
      <c r="B1867">
        <v>3</v>
      </c>
    </row>
    <row r="1868" spans="1:2" x14ac:dyDescent="0.2">
      <c r="A1868" t="s">
        <v>8221</v>
      </c>
      <c r="B1868">
        <v>3</v>
      </c>
    </row>
    <row r="1869" spans="1:2" x14ac:dyDescent="0.2">
      <c r="A1869" t="s">
        <v>8221</v>
      </c>
      <c r="B1869">
        <v>3</v>
      </c>
    </row>
    <row r="1870" spans="1:2" x14ac:dyDescent="0.2">
      <c r="A1870" t="s">
        <v>8221</v>
      </c>
      <c r="B1870">
        <v>3</v>
      </c>
    </row>
    <row r="1871" spans="1:2" x14ac:dyDescent="0.2">
      <c r="A1871" t="s">
        <v>8221</v>
      </c>
      <c r="B1871">
        <v>3</v>
      </c>
    </row>
    <row r="1872" spans="1:2" x14ac:dyDescent="0.2">
      <c r="A1872" t="s">
        <v>8221</v>
      </c>
      <c r="B1872">
        <v>3</v>
      </c>
    </row>
    <row r="1873" spans="1:2" x14ac:dyDescent="0.2">
      <c r="A1873" t="s">
        <v>8221</v>
      </c>
      <c r="B1873">
        <v>3</v>
      </c>
    </row>
    <row r="1874" spans="1:2" x14ac:dyDescent="0.2">
      <c r="A1874" t="s">
        <v>8221</v>
      </c>
      <c r="B1874">
        <v>3</v>
      </c>
    </row>
    <row r="1875" spans="1:2" x14ac:dyDescent="0.2">
      <c r="A1875" t="s">
        <v>8221</v>
      </c>
      <c r="B1875">
        <v>3</v>
      </c>
    </row>
    <row r="1876" spans="1:2" x14ac:dyDescent="0.2">
      <c r="A1876" t="s">
        <v>8221</v>
      </c>
      <c r="B1876">
        <v>3</v>
      </c>
    </row>
    <row r="1877" spans="1:2" x14ac:dyDescent="0.2">
      <c r="A1877" t="s">
        <v>8221</v>
      </c>
      <c r="B1877">
        <v>3</v>
      </c>
    </row>
    <row r="1878" spans="1:2" x14ac:dyDescent="0.2">
      <c r="A1878" t="s">
        <v>8221</v>
      </c>
      <c r="B1878">
        <v>3</v>
      </c>
    </row>
    <row r="1879" spans="1:2" x14ac:dyDescent="0.2">
      <c r="A1879" t="s">
        <v>8221</v>
      </c>
      <c r="B1879">
        <v>3</v>
      </c>
    </row>
    <row r="1880" spans="1:2" x14ac:dyDescent="0.2">
      <c r="A1880" t="s">
        <v>8221</v>
      </c>
      <c r="B1880">
        <v>3</v>
      </c>
    </row>
    <row r="1881" spans="1:2" x14ac:dyDescent="0.2">
      <c r="A1881" t="s">
        <v>8221</v>
      </c>
      <c r="B1881">
        <v>3</v>
      </c>
    </row>
    <row r="1882" spans="1:2" x14ac:dyDescent="0.2">
      <c r="A1882" t="s">
        <v>8221</v>
      </c>
      <c r="B1882">
        <v>3</v>
      </c>
    </row>
    <row r="1883" spans="1:2" hidden="1" x14ac:dyDescent="0.2">
      <c r="A1883" t="s">
        <v>8219</v>
      </c>
      <c r="B1883">
        <v>70</v>
      </c>
    </row>
    <row r="1884" spans="1:2" hidden="1" x14ac:dyDescent="0.2">
      <c r="A1884" t="s">
        <v>8219</v>
      </c>
      <c r="B1884">
        <v>81</v>
      </c>
    </row>
    <row r="1885" spans="1:2" hidden="1" x14ac:dyDescent="0.2">
      <c r="A1885" t="s">
        <v>8219</v>
      </c>
      <c r="B1885">
        <v>32</v>
      </c>
    </row>
    <row r="1886" spans="1:2" hidden="1" x14ac:dyDescent="0.2">
      <c r="A1886" t="s">
        <v>8219</v>
      </c>
      <c r="B1886">
        <v>26</v>
      </c>
    </row>
    <row r="1887" spans="1:2" hidden="1" x14ac:dyDescent="0.2">
      <c r="A1887" t="s">
        <v>8219</v>
      </c>
      <c r="B1887">
        <v>105</v>
      </c>
    </row>
    <row r="1888" spans="1:2" hidden="1" x14ac:dyDescent="0.2">
      <c r="A1888" t="s">
        <v>8219</v>
      </c>
      <c r="B1888">
        <v>29</v>
      </c>
    </row>
    <row r="1889" spans="1:2" hidden="1" x14ac:dyDescent="0.2">
      <c r="A1889" t="s">
        <v>8219</v>
      </c>
      <c r="B1889">
        <v>8</v>
      </c>
    </row>
    <row r="1890" spans="1:2" hidden="1" x14ac:dyDescent="0.2">
      <c r="A1890" t="s">
        <v>8219</v>
      </c>
      <c r="B1890">
        <v>89</v>
      </c>
    </row>
    <row r="1891" spans="1:2" hidden="1" x14ac:dyDescent="0.2">
      <c r="A1891" t="s">
        <v>8219</v>
      </c>
      <c r="B1891">
        <v>44</v>
      </c>
    </row>
    <row r="1892" spans="1:2" hidden="1" x14ac:dyDescent="0.2">
      <c r="A1892" t="s">
        <v>8219</v>
      </c>
      <c r="B1892">
        <v>246</v>
      </c>
    </row>
    <row r="1893" spans="1:2" hidden="1" x14ac:dyDescent="0.2">
      <c r="A1893" t="s">
        <v>8219</v>
      </c>
      <c r="B1893">
        <v>120</v>
      </c>
    </row>
    <row r="1894" spans="1:2" hidden="1" x14ac:dyDescent="0.2">
      <c r="A1894" t="s">
        <v>8219</v>
      </c>
      <c r="B1894">
        <v>26</v>
      </c>
    </row>
    <row r="1895" spans="1:2" hidden="1" x14ac:dyDescent="0.2">
      <c r="A1895" t="s">
        <v>8219</v>
      </c>
      <c r="B1895">
        <v>45</v>
      </c>
    </row>
    <row r="1896" spans="1:2" hidden="1" x14ac:dyDescent="0.2">
      <c r="A1896" t="s">
        <v>8219</v>
      </c>
      <c r="B1896">
        <v>20</v>
      </c>
    </row>
    <row r="1897" spans="1:2" hidden="1" x14ac:dyDescent="0.2">
      <c r="A1897" t="s">
        <v>8219</v>
      </c>
      <c r="B1897">
        <v>47</v>
      </c>
    </row>
    <row r="1898" spans="1:2" hidden="1" x14ac:dyDescent="0.2">
      <c r="A1898" t="s">
        <v>8219</v>
      </c>
      <c r="B1898">
        <v>13</v>
      </c>
    </row>
    <row r="1899" spans="1:2" hidden="1" x14ac:dyDescent="0.2">
      <c r="A1899" t="s">
        <v>8219</v>
      </c>
      <c r="B1899">
        <v>183</v>
      </c>
    </row>
    <row r="1900" spans="1:2" hidden="1" x14ac:dyDescent="0.2">
      <c r="A1900" t="s">
        <v>8219</v>
      </c>
      <c r="B1900">
        <v>21</v>
      </c>
    </row>
    <row r="1901" spans="1:2" hidden="1" x14ac:dyDescent="0.2">
      <c r="A1901" t="s">
        <v>8219</v>
      </c>
      <c r="B1901">
        <v>42</v>
      </c>
    </row>
    <row r="1902" spans="1:2" hidden="1" x14ac:dyDescent="0.2">
      <c r="A1902" t="s">
        <v>8219</v>
      </c>
      <c r="B1902">
        <v>54</v>
      </c>
    </row>
    <row r="1903" spans="1:2" x14ac:dyDescent="0.2">
      <c r="A1903" t="s">
        <v>8221</v>
      </c>
      <c r="B1903">
        <v>3</v>
      </c>
    </row>
    <row r="1904" spans="1:2" x14ac:dyDescent="0.2">
      <c r="A1904" t="s">
        <v>8221</v>
      </c>
      <c r="B1904">
        <v>3</v>
      </c>
    </row>
    <row r="1905" spans="1:2" x14ac:dyDescent="0.2">
      <c r="A1905" t="s">
        <v>8221</v>
      </c>
      <c r="B1905">
        <v>3</v>
      </c>
    </row>
    <row r="1906" spans="1:2" x14ac:dyDescent="0.2">
      <c r="A1906" t="s">
        <v>8221</v>
      </c>
      <c r="B1906">
        <v>3</v>
      </c>
    </row>
    <row r="1907" spans="1:2" x14ac:dyDescent="0.2">
      <c r="A1907" t="s">
        <v>8221</v>
      </c>
      <c r="B1907">
        <v>3</v>
      </c>
    </row>
    <row r="1908" spans="1:2" x14ac:dyDescent="0.2">
      <c r="A1908" t="s">
        <v>8221</v>
      </c>
      <c r="B1908">
        <v>3</v>
      </c>
    </row>
    <row r="1909" spans="1:2" x14ac:dyDescent="0.2">
      <c r="A1909" t="s">
        <v>8221</v>
      </c>
      <c r="B1909">
        <v>3</v>
      </c>
    </row>
    <row r="1910" spans="1:2" x14ac:dyDescent="0.2">
      <c r="A1910" t="s">
        <v>8221</v>
      </c>
      <c r="B1910">
        <v>3</v>
      </c>
    </row>
    <row r="1911" spans="1:2" x14ac:dyDescent="0.2">
      <c r="A1911" t="s">
        <v>8221</v>
      </c>
      <c r="B1911">
        <v>3</v>
      </c>
    </row>
    <row r="1912" spans="1:2" x14ac:dyDescent="0.2">
      <c r="A1912" t="s">
        <v>8221</v>
      </c>
      <c r="B1912">
        <v>3</v>
      </c>
    </row>
    <row r="1913" spans="1:2" x14ac:dyDescent="0.2">
      <c r="A1913" t="s">
        <v>8221</v>
      </c>
      <c r="B1913">
        <v>3</v>
      </c>
    </row>
    <row r="1914" spans="1:2" x14ac:dyDescent="0.2">
      <c r="A1914" t="s">
        <v>8221</v>
      </c>
      <c r="B1914">
        <v>3</v>
      </c>
    </row>
    <row r="1915" spans="1:2" x14ac:dyDescent="0.2">
      <c r="A1915" t="s">
        <v>8221</v>
      </c>
      <c r="B1915">
        <v>3</v>
      </c>
    </row>
    <row r="1916" spans="1:2" x14ac:dyDescent="0.2">
      <c r="A1916" t="s">
        <v>8221</v>
      </c>
      <c r="B1916">
        <v>3</v>
      </c>
    </row>
    <row r="1917" spans="1:2" x14ac:dyDescent="0.2">
      <c r="A1917" t="s">
        <v>8221</v>
      </c>
      <c r="B1917">
        <v>3</v>
      </c>
    </row>
    <row r="1918" spans="1:2" x14ac:dyDescent="0.2">
      <c r="A1918" t="s">
        <v>8221</v>
      </c>
      <c r="B1918">
        <v>3</v>
      </c>
    </row>
    <row r="1919" spans="1:2" x14ac:dyDescent="0.2">
      <c r="A1919" t="s">
        <v>8221</v>
      </c>
      <c r="B1919">
        <v>3</v>
      </c>
    </row>
    <row r="1920" spans="1:2" x14ac:dyDescent="0.2">
      <c r="A1920" t="s">
        <v>8221</v>
      </c>
      <c r="B1920">
        <v>3</v>
      </c>
    </row>
    <row r="1921" spans="1:2" x14ac:dyDescent="0.2">
      <c r="A1921" t="s">
        <v>8221</v>
      </c>
      <c r="B1921">
        <v>3</v>
      </c>
    </row>
    <row r="1922" spans="1:2" x14ac:dyDescent="0.2">
      <c r="A1922" t="s">
        <v>8221</v>
      </c>
      <c r="B1922">
        <v>3</v>
      </c>
    </row>
    <row r="1923" spans="1:2" hidden="1" x14ac:dyDescent="0.2">
      <c r="A1923" t="s">
        <v>8219</v>
      </c>
      <c r="B1923">
        <v>38</v>
      </c>
    </row>
    <row r="1924" spans="1:2" hidden="1" x14ac:dyDescent="0.2">
      <c r="A1924" t="s">
        <v>8219</v>
      </c>
      <c r="B1924">
        <v>64</v>
      </c>
    </row>
    <row r="1925" spans="1:2" hidden="1" x14ac:dyDescent="0.2">
      <c r="A1925" t="s">
        <v>8219</v>
      </c>
      <c r="B1925">
        <v>13</v>
      </c>
    </row>
    <row r="1926" spans="1:2" hidden="1" x14ac:dyDescent="0.2">
      <c r="A1926" t="s">
        <v>8219</v>
      </c>
      <c r="B1926">
        <v>33</v>
      </c>
    </row>
    <row r="1927" spans="1:2" hidden="1" x14ac:dyDescent="0.2">
      <c r="A1927" t="s">
        <v>8219</v>
      </c>
      <c r="B1927">
        <v>52</v>
      </c>
    </row>
    <row r="1928" spans="1:2" hidden="1" x14ac:dyDescent="0.2">
      <c r="A1928" t="s">
        <v>8219</v>
      </c>
      <c r="B1928">
        <v>107</v>
      </c>
    </row>
    <row r="1929" spans="1:2" hidden="1" x14ac:dyDescent="0.2">
      <c r="A1929" t="s">
        <v>8219</v>
      </c>
      <c r="B1929">
        <v>11</v>
      </c>
    </row>
    <row r="1930" spans="1:2" hidden="1" x14ac:dyDescent="0.2">
      <c r="A1930" t="s">
        <v>8219</v>
      </c>
      <c r="B1930">
        <v>34</v>
      </c>
    </row>
    <row r="1931" spans="1:2" hidden="1" x14ac:dyDescent="0.2">
      <c r="A1931" t="s">
        <v>8219</v>
      </c>
      <c r="B1931">
        <v>75</v>
      </c>
    </row>
    <row r="1932" spans="1:2" hidden="1" x14ac:dyDescent="0.2">
      <c r="A1932" t="s">
        <v>8219</v>
      </c>
      <c r="B1932">
        <v>26</v>
      </c>
    </row>
    <row r="1933" spans="1:2" hidden="1" x14ac:dyDescent="0.2">
      <c r="A1933" t="s">
        <v>8219</v>
      </c>
      <c r="B1933">
        <v>50</v>
      </c>
    </row>
    <row r="1934" spans="1:2" hidden="1" x14ac:dyDescent="0.2">
      <c r="A1934" t="s">
        <v>8219</v>
      </c>
      <c r="B1934">
        <v>80</v>
      </c>
    </row>
    <row r="1935" spans="1:2" hidden="1" x14ac:dyDescent="0.2">
      <c r="A1935" t="s">
        <v>8219</v>
      </c>
      <c r="B1935">
        <v>110</v>
      </c>
    </row>
    <row r="1936" spans="1:2" hidden="1" x14ac:dyDescent="0.2">
      <c r="A1936" t="s">
        <v>8219</v>
      </c>
      <c r="B1936">
        <v>77</v>
      </c>
    </row>
    <row r="1937" spans="1:2" hidden="1" x14ac:dyDescent="0.2">
      <c r="A1937" t="s">
        <v>8219</v>
      </c>
      <c r="B1937">
        <v>50</v>
      </c>
    </row>
    <row r="1938" spans="1:2" hidden="1" x14ac:dyDescent="0.2">
      <c r="A1938" t="s">
        <v>8219</v>
      </c>
      <c r="B1938">
        <v>145</v>
      </c>
    </row>
    <row r="1939" spans="1:2" hidden="1" x14ac:dyDescent="0.2">
      <c r="A1939" t="s">
        <v>8219</v>
      </c>
      <c r="B1939">
        <v>29</v>
      </c>
    </row>
    <row r="1940" spans="1:2" hidden="1" x14ac:dyDescent="0.2">
      <c r="A1940" t="s">
        <v>8219</v>
      </c>
      <c r="B1940">
        <v>114</v>
      </c>
    </row>
    <row r="1941" spans="1:2" hidden="1" x14ac:dyDescent="0.2">
      <c r="A1941" t="s">
        <v>8219</v>
      </c>
      <c r="B1941">
        <v>96</v>
      </c>
    </row>
    <row r="1942" spans="1:2" hidden="1" x14ac:dyDescent="0.2">
      <c r="A1942" t="s">
        <v>8219</v>
      </c>
      <c r="B1942">
        <v>31</v>
      </c>
    </row>
    <row r="1943" spans="1:2" hidden="1" x14ac:dyDescent="0.2">
      <c r="A1943" t="s">
        <v>8219</v>
      </c>
      <c r="B1943">
        <v>4883</v>
      </c>
    </row>
    <row r="1944" spans="1:2" hidden="1" x14ac:dyDescent="0.2">
      <c r="A1944" t="s">
        <v>8219</v>
      </c>
      <c r="B1944">
        <v>95</v>
      </c>
    </row>
    <row r="1945" spans="1:2" hidden="1" x14ac:dyDescent="0.2">
      <c r="A1945" t="s">
        <v>8219</v>
      </c>
      <c r="B1945">
        <v>2478</v>
      </c>
    </row>
    <row r="1946" spans="1:2" hidden="1" x14ac:dyDescent="0.2">
      <c r="A1946" t="s">
        <v>8219</v>
      </c>
      <c r="B1946">
        <v>1789</v>
      </c>
    </row>
    <row r="1947" spans="1:2" hidden="1" x14ac:dyDescent="0.2">
      <c r="A1947" t="s">
        <v>8219</v>
      </c>
      <c r="B1947">
        <v>680</v>
      </c>
    </row>
    <row r="1948" spans="1:2" hidden="1" x14ac:dyDescent="0.2">
      <c r="A1948" t="s">
        <v>8219</v>
      </c>
      <c r="B1948">
        <v>70</v>
      </c>
    </row>
    <row r="1949" spans="1:2" hidden="1" x14ac:dyDescent="0.2">
      <c r="A1949" t="s">
        <v>8219</v>
      </c>
      <c r="B1949">
        <v>23</v>
      </c>
    </row>
    <row r="1950" spans="1:2" hidden="1" x14ac:dyDescent="0.2">
      <c r="A1950" t="s">
        <v>8219</v>
      </c>
      <c r="B1950">
        <v>4245</v>
      </c>
    </row>
    <row r="1951" spans="1:2" hidden="1" x14ac:dyDescent="0.2">
      <c r="A1951" t="s">
        <v>8219</v>
      </c>
      <c r="B1951">
        <v>943</v>
      </c>
    </row>
    <row r="1952" spans="1:2" hidden="1" x14ac:dyDescent="0.2">
      <c r="A1952" t="s">
        <v>8219</v>
      </c>
      <c r="B1952">
        <v>1876</v>
      </c>
    </row>
    <row r="1953" spans="1:2" hidden="1" x14ac:dyDescent="0.2">
      <c r="A1953" t="s">
        <v>8219</v>
      </c>
      <c r="B1953">
        <v>834</v>
      </c>
    </row>
    <row r="1954" spans="1:2" hidden="1" x14ac:dyDescent="0.2">
      <c r="A1954" t="s">
        <v>8219</v>
      </c>
      <c r="B1954">
        <v>682</v>
      </c>
    </row>
    <row r="1955" spans="1:2" hidden="1" x14ac:dyDescent="0.2">
      <c r="A1955" t="s">
        <v>8219</v>
      </c>
      <c r="B1955">
        <v>147</v>
      </c>
    </row>
    <row r="1956" spans="1:2" hidden="1" x14ac:dyDescent="0.2">
      <c r="A1956" t="s">
        <v>8219</v>
      </c>
      <c r="B1956">
        <v>415</v>
      </c>
    </row>
    <row r="1957" spans="1:2" hidden="1" x14ac:dyDescent="0.2">
      <c r="A1957" t="s">
        <v>8219</v>
      </c>
      <c r="B1957">
        <v>290</v>
      </c>
    </row>
    <row r="1958" spans="1:2" hidden="1" x14ac:dyDescent="0.2">
      <c r="A1958" t="s">
        <v>8219</v>
      </c>
      <c r="B1958">
        <v>365</v>
      </c>
    </row>
    <row r="1959" spans="1:2" hidden="1" x14ac:dyDescent="0.2">
      <c r="A1959" t="s">
        <v>8219</v>
      </c>
      <c r="B1959">
        <v>660</v>
      </c>
    </row>
    <row r="1960" spans="1:2" hidden="1" x14ac:dyDescent="0.2">
      <c r="A1960" t="s">
        <v>8219</v>
      </c>
      <c r="B1960">
        <v>1356</v>
      </c>
    </row>
    <row r="1961" spans="1:2" hidden="1" x14ac:dyDescent="0.2">
      <c r="A1961" t="s">
        <v>8219</v>
      </c>
      <c r="B1961">
        <v>424</v>
      </c>
    </row>
    <row r="1962" spans="1:2" hidden="1" x14ac:dyDescent="0.2">
      <c r="A1962" t="s">
        <v>8219</v>
      </c>
      <c r="B1962">
        <v>33</v>
      </c>
    </row>
    <row r="1963" spans="1:2" hidden="1" x14ac:dyDescent="0.2">
      <c r="A1963" t="s">
        <v>8219</v>
      </c>
      <c r="B1963">
        <v>1633</v>
      </c>
    </row>
    <row r="1964" spans="1:2" hidden="1" x14ac:dyDescent="0.2">
      <c r="A1964" t="s">
        <v>8219</v>
      </c>
      <c r="B1964">
        <v>306</v>
      </c>
    </row>
    <row r="1965" spans="1:2" hidden="1" x14ac:dyDescent="0.2">
      <c r="A1965" t="s">
        <v>8219</v>
      </c>
      <c r="B1965">
        <v>205</v>
      </c>
    </row>
    <row r="1966" spans="1:2" hidden="1" x14ac:dyDescent="0.2">
      <c r="A1966" t="s">
        <v>8219</v>
      </c>
      <c r="B1966">
        <v>1281</v>
      </c>
    </row>
    <row r="1967" spans="1:2" hidden="1" x14ac:dyDescent="0.2">
      <c r="A1967" t="s">
        <v>8219</v>
      </c>
      <c r="B1967">
        <v>103</v>
      </c>
    </row>
    <row r="1968" spans="1:2" hidden="1" x14ac:dyDescent="0.2">
      <c r="A1968" t="s">
        <v>8219</v>
      </c>
      <c r="B1968">
        <v>1513</v>
      </c>
    </row>
    <row r="1969" spans="1:2" hidden="1" x14ac:dyDescent="0.2">
      <c r="A1969" t="s">
        <v>8219</v>
      </c>
      <c r="B1969">
        <v>405</v>
      </c>
    </row>
    <row r="1970" spans="1:2" hidden="1" x14ac:dyDescent="0.2">
      <c r="A1970" t="s">
        <v>8219</v>
      </c>
      <c r="B1970">
        <v>510</v>
      </c>
    </row>
    <row r="1971" spans="1:2" hidden="1" x14ac:dyDescent="0.2">
      <c r="A1971" t="s">
        <v>8219</v>
      </c>
      <c r="B1971">
        <v>1887</v>
      </c>
    </row>
    <row r="1972" spans="1:2" hidden="1" x14ac:dyDescent="0.2">
      <c r="A1972" t="s">
        <v>8219</v>
      </c>
      <c r="B1972">
        <v>701</v>
      </c>
    </row>
    <row r="1973" spans="1:2" hidden="1" x14ac:dyDescent="0.2">
      <c r="A1973" t="s">
        <v>8219</v>
      </c>
      <c r="B1973">
        <v>3863</v>
      </c>
    </row>
    <row r="1974" spans="1:2" hidden="1" x14ac:dyDescent="0.2">
      <c r="A1974" t="s">
        <v>8219</v>
      </c>
      <c r="B1974">
        <v>238</v>
      </c>
    </row>
    <row r="1975" spans="1:2" hidden="1" x14ac:dyDescent="0.2">
      <c r="A1975" t="s">
        <v>8219</v>
      </c>
      <c r="B1975">
        <v>2051</v>
      </c>
    </row>
    <row r="1976" spans="1:2" hidden="1" x14ac:dyDescent="0.2">
      <c r="A1976" t="s">
        <v>8219</v>
      </c>
      <c r="B1976">
        <v>402</v>
      </c>
    </row>
    <row r="1977" spans="1:2" hidden="1" x14ac:dyDescent="0.2">
      <c r="A1977" t="s">
        <v>8219</v>
      </c>
      <c r="B1977">
        <v>253</v>
      </c>
    </row>
    <row r="1978" spans="1:2" hidden="1" x14ac:dyDescent="0.2">
      <c r="A1978" t="s">
        <v>8219</v>
      </c>
      <c r="B1978">
        <v>473</v>
      </c>
    </row>
    <row r="1979" spans="1:2" hidden="1" x14ac:dyDescent="0.2">
      <c r="A1979" t="s">
        <v>8219</v>
      </c>
      <c r="B1979">
        <v>821</v>
      </c>
    </row>
    <row r="1980" spans="1:2" hidden="1" x14ac:dyDescent="0.2">
      <c r="A1980" t="s">
        <v>8219</v>
      </c>
      <c r="B1980">
        <v>388</v>
      </c>
    </row>
    <row r="1981" spans="1:2" hidden="1" x14ac:dyDescent="0.2">
      <c r="A1981" t="s">
        <v>8219</v>
      </c>
      <c r="B1981">
        <v>813</v>
      </c>
    </row>
    <row r="1982" spans="1:2" hidden="1" x14ac:dyDescent="0.2">
      <c r="A1982" t="s">
        <v>8219</v>
      </c>
      <c r="B1982">
        <v>1945</v>
      </c>
    </row>
    <row r="1983" spans="1:2" x14ac:dyDescent="0.2">
      <c r="A1983" t="s">
        <v>8221</v>
      </c>
      <c r="B1983">
        <v>3</v>
      </c>
    </row>
    <row r="1984" spans="1:2" x14ac:dyDescent="0.2">
      <c r="A1984" t="s">
        <v>8221</v>
      </c>
      <c r="B1984">
        <v>3</v>
      </c>
    </row>
    <row r="1985" spans="1:2" x14ac:dyDescent="0.2">
      <c r="A1985" t="s">
        <v>8221</v>
      </c>
      <c r="B1985">
        <v>3</v>
      </c>
    </row>
    <row r="1986" spans="1:2" x14ac:dyDescent="0.2">
      <c r="A1986" t="s">
        <v>8221</v>
      </c>
      <c r="B1986">
        <v>3</v>
      </c>
    </row>
    <row r="1987" spans="1:2" x14ac:dyDescent="0.2">
      <c r="A1987" t="s">
        <v>8221</v>
      </c>
      <c r="B1987">
        <v>3</v>
      </c>
    </row>
    <row r="1988" spans="1:2" x14ac:dyDescent="0.2">
      <c r="A1988" t="s">
        <v>8221</v>
      </c>
      <c r="B1988">
        <v>3</v>
      </c>
    </row>
    <row r="1989" spans="1:2" x14ac:dyDescent="0.2">
      <c r="A1989" t="s">
        <v>8221</v>
      </c>
      <c r="B1989">
        <v>3</v>
      </c>
    </row>
    <row r="1990" spans="1:2" x14ac:dyDescent="0.2">
      <c r="A1990" t="s">
        <v>8221</v>
      </c>
      <c r="B1990">
        <v>3</v>
      </c>
    </row>
    <row r="1991" spans="1:2" x14ac:dyDescent="0.2">
      <c r="A1991" t="s">
        <v>8221</v>
      </c>
      <c r="B1991">
        <v>3</v>
      </c>
    </row>
    <row r="1992" spans="1:2" x14ac:dyDescent="0.2">
      <c r="A1992" t="s">
        <v>8221</v>
      </c>
      <c r="B1992">
        <v>3</v>
      </c>
    </row>
    <row r="1993" spans="1:2" x14ac:dyDescent="0.2">
      <c r="A1993" t="s">
        <v>8221</v>
      </c>
      <c r="B1993">
        <v>3</v>
      </c>
    </row>
    <row r="1994" spans="1:2" x14ac:dyDescent="0.2">
      <c r="A1994" t="s">
        <v>8221</v>
      </c>
      <c r="B1994">
        <v>3</v>
      </c>
    </row>
    <row r="1995" spans="1:2" x14ac:dyDescent="0.2">
      <c r="A1995" t="s">
        <v>8221</v>
      </c>
      <c r="B1995">
        <v>3</v>
      </c>
    </row>
    <row r="1996" spans="1:2" x14ac:dyDescent="0.2">
      <c r="A1996" t="s">
        <v>8221</v>
      </c>
      <c r="B1996">
        <v>3</v>
      </c>
    </row>
    <row r="1997" spans="1:2" x14ac:dyDescent="0.2">
      <c r="A1997" t="s">
        <v>8221</v>
      </c>
      <c r="B1997">
        <v>3</v>
      </c>
    </row>
    <row r="1998" spans="1:2" x14ac:dyDescent="0.2">
      <c r="A1998" t="s">
        <v>8221</v>
      </c>
      <c r="B1998">
        <v>3</v>
      </c>
    </row>
    <row r="1999" spans="1:2" x14ac:dyDescent="0.2">
      <c r="A1999" t="s">
        <v>8221</v>
      </c>
      <c r="B1999">
        <v>3</v>
      </c>
    </row>
    <row r="2000" spans="1:2" x14ac:dyDescent="0.2">
      <c r="A2000" t="s">
        <v>8221</v>
      </c>
      <c r="B2000">
        <v>3</v>
      </c>
    </row>
    <row r="2001" spans="1:2" x14ac:dyDescent="0.2">
      <c r="A2001" t="s">
        <v>8221</v>
      </c>
      <c r="B2001">
        <v>3</v>
      </c>
    </row>
    <row r="2002" spans="1:2" x14ac:dyDescent="0.2">
      <c r="A2002" t="s">
        <v>8221</v>
      </c>
      <c r="B2002">
        <v>3</v>
      </c>
    </row>
    <row r="2003" spans="1:2" hidden="1" x14ac:dyDescent="0.2">
      <c r="A2003" t="s">
        <v>8219</v>
      </c>
      <c r="B2003">
        <v>1637</v>
      </c>
    </row>
    <row r="2004" spans="1:2" hidden="1" x14ac:dyDescent="0.2">
      <c r="A2004" t="s">
        <v>8219</v>
      </c>
      <c r="B2004">
        <v>1375</v>
      </c>
    </row>
    <row r="2005" spans="1:2" hidden="1" x14ac:dyDescent="0.2">
      <c r="A2005" t="s">
        <v>8219</v>
      </c>
      <c r="B2005">
        <v>17</v>
      </c>
    </row>
    <row r="2006" spans="1:2" hidden="1" x14ac:dyDescent="0.2">
      <c r="A2006" t="s">
        <v>8219</v>
      </c>
      <c r="B2006">
        <v>354</v>
      </c>
    </row>
    <row r="2007" spans="1:2" hidden="1" x14ac:dyDescent="0.2">
      <c r="A2007" t="s">
        <v>8219</v>
      </c>
      <c r="B2007">
        <v>191</v>
      </c>
    </row>
    <row r="2008" spans="1:2" hidden="1" x14ac:dyDescent="0.2">
      <c r="A2008" t="s">
        <v>8219</v>
      </c>
      <c r="B2008">
        <v>303</v>
      </c>
    </row>
    <row r="2009" spans="1:2" hidden="1" x14ac:dyDescent="0.2">
      <c r="A2009" t="s">
        <v>8219</v>
      </c>
      <c r="B2009">
        <v>137</v>
      </c>
    </row>
    <row r="2010" spans="1:2" hidden="1" x14ac:dyDescent="0.2">
      <c r="A2010" t="s">
        <v>8219</v>
      </c>
      <c r="B2010">
        <v>41</v>
      </c>
    </row>
    <row r="2011" spans="1:2" hidden="1" x14ac:dyDescent="0.2">
      <c r="A2011" t="s">
        <v>8219</v>
      </c>
      <c r="B2011">
        <v>398</v>
      </c>
    </row>
    <row r="2012" spans="1:2" hidden="1" x14ac:dyDescent="0.2">
      <c r="A2012" t="s">
        <v>8219</v>
      </c>
      <c r="B2012">
        <v>1737</v>
      </c>
    </row>
    <row r="2013" spans="1:2" hidden="1" x14ac:dyDescent="0.2">
      <c r="A2013" t="s">
        <v>8219</v>
      </c>
      <c r="B2013">
        <v>971</v>
      </c>
    </row>
    <row r="2014" spans="1:2" hidden="1" x14ac:dyDescent="0.2">
      <c r="A2014" t="s">
        <v>8219</v>
      </c>
      <c r="B2014">
        <v>183</v>
      </c>
    </row>
    <row r="2015" spans="1:2" hidden="1" x14ac:dyDescent="0.2">
      <c r="A2015" t="s">
        <v>8219</v>
      </c>
      <c r="B2015">
        <v>4562</v>
      </c>
    </row>
    <row r="2016" spans="1:2" hidden="1" x14ac:dyDescent="0.2">
      <c r="A2016" t="s">
        <v>8219</v>
      </c>
      <c r="B2016">
        <v>26457</v>
      </c>
    </row>
    <row r="2017" spans="1:2" hidden="1" x14ac:dyDescent="0.2">
      <c r="A2017" t="s">
        <v>8219</v>
      </c>
      <c r="B2017">
        <v>162</v>
      </c>
    </row>
    <row r="2018" spans="1:2" hidden="1" x14ac:dyDescent="0.2">
      <c r="A2018" t="s">
        <v>8219</v>
      </c>
      <c r="B2018">
        <v>479</v>
      </c>
    </row>
    <row r="2019" spans="1:2" hidden="1" x14ac:dyDescent="0.2">
      <c r="A2019" t="s">
        <v>8219</v>
      </c>
      <c r="B2019">
        <v>426</v>
      </c>
    </row>
    <row r="2020" spans="1:2" hidden="1" x14ac:dyDescent="0.2">
      <c r="A2020" t="s">
        <v>8219</v>
      </c>
      <c r="B2020">
        <v>450</v>
      </c>
    </row>
    <row r="2021" spans="1:2" hidden="1" x14ac:dyDescent="0.2">
      <c r="A2021" t="s">
        <v>8219</v>
      </c>
      <c r="B2021">
        <v>1780</v>
      </c>
    </row>
    <row r="2022" spans="1:2" hidden="1" x14ac:dyDescent="0.2">
      <c r="A2022" t="s">
        <v>8219</v>
      </c>
      <c r="B2022">
        <v>122</v>
      </c>
    </row>
    <row r="2023" spans="1:2" hidden="1" x14ac:dyDescent="0.2">
      <c r="A2023" t="s">
        <v>8219</v>
      </c>
      <c r="B2023">
        <v>95</v>
      </c>
    </row>
    <row r="2024" spans="1:2" hidden="1" x14ac:dyDescent="0.2">
      <c r="A2024" t="s">
        <v>8219</v>
      </c>
      <c r="B2024">
        <v>325</v>
      </c>
    </row>
    <row r="2025" spans="1:2" hidden="1" x14ac:dyDescent="0.2">
      <c r="A2025" t="s">
        <v>8219</v>
      </c>
      <c r="B2025">
        <v>353</v>
      </c>
    </row>
    <row r="2026" spans="1:2" hidden="1" x14ac:dyDescent="0.2">
      <c r="A2026" t="s">
        <v>8219</v>
      </c>
      <c r="B2026">
        <v>105</v>
      </c>
    </row>
    <row r="2027" spans="1:2" hidden="1" x14ac:dyDescent="0.2">
      <c r="A2027" t="s">
        <v>8219</v>
      </c>
      <c r="B2027">
        <v>729</v>
      </c>
    </row>
    <row r="2028" spans="1:2" hidden="1" x14ac:dyDescent="0.2">
      <c r="A2028" t="s">
        <v>8219</v>
      </c>
      <c r="B2028">
        <v>454</v>
      </c>
    </row>
    <row r="2029" spans="1:2" hidden="1" x14ac:dyDescent="0.2">
      <c r="A2029" t="s">
        <v>8219</v>
      </c>
      <c r="B2029">
        <v>539</v>
      </c>
    </row>
    <row r="2030" spans="1:2" hidden="1" x14ac:dyDescent="0.2">
      <c r="A2030" t="s">
        <v>8219</v>
      </c>
      <c r="B2030">
        <v>79</v>
      </c>
    </row>
    <row r="2031" spans="1:2" hidden="1" x14ac:dyDescent="0.2">
      <c r="A2031" t="s">
        <v>8219</v>
      </c>
      <c r="B2031">
        <v>94</v>
      </c>
    </row>
    <row r="2032" spans="1:2" hidden="1" x14ac:dyDescent="0.2">
      <c r="A2032" t="s">
        <v>8219</v>
      </c>
      <c r="B2032">
        <v>625</v>
      </c>
    </row>
    <row r="2033" spans="1:2" hidden="1" x14ac:dyDescent="0.2">
      <c r="A2033" t="s">
        <v>8219</v>
      </c>
      <c r="B2033">
        <v>508</v>
      </c>
    </row>
    <row r="2034" spans="1:2" hidden="1" x14ac:dyDescent="0.2">
      <c r="A2034" t="s">
        <v>8219</v>
      </c>
      <c r="B2034">
        <v>531</v>
      </c>
    </row>
    <row r="2035" spans="1:2" hidden="1" x14ac:dyDescent="0.2">
      <c r="A2035" t="s">
        <v>8219</v>
      </c>
      <c r="B2035">
        <v>158</v>
      </c>
    </row>
    <row r="2036" spans="1:2" hidden="1" x14ac:dyDescent="0.2">
      <c r="A2036" t="s">
        <v>8219</v>
      </c>
      <c r="B2036">
        <v>508</v>
      </c>
    </row>
    <row r="2037" spans="1:2" hidden="1" x14ac:dyDescent="0.2">
      <c r="A2037" t="s">
        <v>8219</v>
      </c>
      <c r="B2037">
        <v>644</v>
      </c>
    </row>
    <row r="2038" spans="1:2" hidden="1" x14ac:dyDescent="0.2">
      <c r="A2038" t="s">
        <v>8219</v>
      </c>
      <c r="B2038">
        <v>848</v>
      </c>
    </row>
    <row r="2039" spans="1:2" hidden="1" x14ac:dyDescent="0.2">
      <c r="A2039" t="s">
        <v>8219</v>
      </c>
      <c r="B2039">
        <v>429</v>
      </c>
    </row>
    <row r="2040" spans="1:2" hidden="1" x14ac:dyDescent="0.2">
      <c r="A2040" t="s">
        <v>8219</v>
      </c>
      <c r="B2040">
        <v>204</v>
      </c>
    </row>
    <row r="2041" spans="1:2" hidden="1" x14ac:dyDescent="0.2">
      <c r="A2041" t="s">
        <v>8219</v>
      </c>
      <c r="B2041">
        <v>379</v>
      </c>
    </row>
    <row r="2042" spans="1:2" hidden="1" x14ac:dyDescent="0.2">
      <c r="A2042" t="s">
        <v>8219</v>
      </c>
      <c r="B2042">
        <v>271</v>
      </c>
    </row>
    <row r="2043" spans="1:2" hidden="1" x14ac:dyDescent="0.2">
      <c r="A2043" t="s">
        <v>8219</v>
      </c>
      <c r="B2043">
        <v>120</v>
      </c>
    </row>
    <row r="2044" spans="1:2" hidden="1" x14ac:dyDescent="0.2">
      <c r="A2044" t="s">
        <v>8219</v>
      </c>
      <c r="B2044">
        <v>140</v>
      </c>
    </row>
    <row r="2045" spans="1:2" hidden="1" x14ac:dyDescent="0.2">
      <c r="A2045" t="s">
        <v>8219</v>
      </c>
      <c r="B2045">
        <v>193</v>
      </c>
    </row>
    <row r="2046" spans="1:2" hidden="1" x14ac:dyDescent="0.2">
      <c r="A2046" t="s">
        <v>8219</v>
      </c>
      <c r="B2046">
        <v>180</v>
      </c>
    </row>
    <row r="2047" spans="1:2" hidden="1" x14ac:dyDescent="0.2">
      <c r="A2047" t="s">
        <v>8219</v>
      </c>
      <c r="B2047">
        <v>263</v>
      </c>
    </row>
    <row r="2048" spans="1:2" hidden="1" x14ac:dyDescent="0.2">
      <c r="A2048" t="s">
        <v>8219</v>
      </c>
      <c r="B2048">
        <v>217</v>
      </c>
    </row>
    <row r="2049" spans="1:2" hidden="1" x14ac:dyDescent="0.2">
      <c r="A2049" t="s">
        <v>8219</v>
      </c>
      <c r="B2049">
        <v>443</v>
      </c>
    </row>
    <row r="2050" spans="1:2" hidden="1" x14ac:dyDescent="0.2">
      <c r="A2050" t="s">
        <v>8219</v>
      </c>
      <c r="B2050">
        <v>1373</v>
      </c>
    </row>
    <row r="2051" spans="1:2" hidden="1" x14ac:dyDescent="0.2">
      <c r="A2051" t="s">
        <v>8219</v>
      </c>
      <c r="B2051">
        <v>742</v>
      </c>
    </row>
    <row r="2052" spans="1:2" hidden="1" x14ac:dyDescent="0.2">
      <c r="A2052" t="s">
        <v>8219</v>
      </c>
      <c r="B2052">
        <v>170</v>
      </c>
    </row>
    <row r="2053" spans="1:2" hidden="1" x14ac:dyDescent="0.2">
      <c r="A2053" t="s">
        <v>8219</v>
      </c>
      <c r="B2053">
        <v>242</v>
      </c>
    </row>
    <row r="2054" spans="1:2" hidden="1" x14ac:dyDescent="0.2">
      <c r="A2054" t="s">
        <v>8219</v>
      </c>
      <c r="B2054">
        <v>541</v>
      </c>
    </row>
    <row r="2055" spans="1:2" hidden="1" x14ac:dyDescent="0.2">
      <c r="A2055" t="s">
        <v>8219</v>
      </c>
      <c r="B2055">
        <v>121</v>
      </c>
    </row>
    <row r="2056" spans="1:2" hidden="1" x14ac:dyDescent="0.2">
      <c r="A2056" t="s">
        <v>8219</v>
      </c>
      <c r="B2056">
        <v>621</v>
      </c>
    </row>
    <row r="2057" spans="1:2" hidden="1" x14ac:dyDescent="0.2">
      <c r="A2057" t="s">
        <v>8219</v>
      </c>
      <c r="B2057">
        <v>101</v>
      </c>
    </row>
    <row r="2058" spans="1:2" hidden="1" x14ac:dyDescent="0.2">
      <c r="A2058" t="s">
        <v>8219</v>
      </c>
      <c r="B2058">
        <v>554</v>
      </c>
    </row>
    <row r="2059" spans="1:2" hidden="1" x14ac:dyDescent="0.2">
      <c r="A2059" t="s">
        <v>8219</v>
      </c>
      <c r="B2059">
        <v>666</v>
      </c>
    </row>
    <row r="2060" spans="1:2" hidden="1" x14ac:dyDescent="0.2">
      <c r="A2060" t="s">
        <v>8219</v>
      </c>
      <c r="B2060">
        <v>410</v>
      </c>
    </row>
    <row r="2061" spans="1:2" hidden="1" x14ac:dyDescent="0.2">
      <c r="A2061" t="s">
        <v>8219</v>
      </c>
      <c r="B2061">
        <v>375</v>
      </c>
    </row>
    <row r="2062" spans="1:2" hidden="1" x14ac:dyDescent="0.2">
      <c r="A2062" t="s">
        <v>8219</v>
      </c>
      <c r="B2062">
        <v>1364</v>
      </c>
    </row>
    <row r="2063" spans="1:2" hidden="1" x14ac:dyDescent="0.2">
      <c r="A2063" t="s">
        <v>8219</v>
      </c>
      <c r="B2063">
        <v>35</v>
      </c>
    </row>
    <row r="2064" spans="1:2" hidden="1" x14ac:dyDescent="0.2">
      <c r="A2064" t="s">
        <v>8219</v>
      </c>
      <c r="B2064">
        <v>203</v>
      </c>
    </row>
    <row r="2065" spans="1:2" hidden="1" x14ac:dyDescent="0.2">
      <c r="A2065" t="s">
        <v>8219</v>
      </c>
      <c r="B2065">
        <v>49</v>
      </c>
    </row>
    <row r="2066" spans="1:2" hidden="1" x14ac:dyDescent="0.2">
      <c r="A2066" t="s">
        <v>8219</v>
      </c>
      <c r="B2066">
        <v>5812</v>
      </c>
    </row>
    <row r="2067" spans="1:2" hidden="1" x14ac:dyDescent="0.2">
      <c r="A2067" t="s">
        <v>8219</v>
      </c>
      <c r="B2067">
        <v>1556</v>
      </c>
    </row>
    <row r="2068" spans="1:2" hidden="1" x14ac:dyDescent="0.2">
      <c r="A2068" t="s">
        <v>8219</v>
      </c>
      <c r="B2068">
        <v>65</v>
      </c>
    </row>
    <row r="2069" spans="1:2" hidden="1" x14ac:dyDescent="0.2">
      <c r="A2069" t="s">
        <v>8219</v>
      </c>
      <c r="B2069">
        <v>10</v>
      </c>
    </row>
    <row r="2070" spans="1:2" hidden="1" x14ac:dyDescent="0.2">
      <c r="A2070" t="s">
        <v>8219</v>
      </c>
      <c r="B2070">
        <v>76</v>
      </c>
    </row>
    <row r="2071" spans="1:2" hidden="1" x14ac:dyDescent="0.2">
      <c r="A2071" t="s">
        <v>8219</v>
      </c>
      <c r="B2071">
        <v>263</v>
      </c>
    </row>
    <row r="2072" spans="1:2" hidden="1" x14ac:dyDescent="0.2">
      <c r="A2072" t="s">
        <v>8219</v>
      </c>
      <c r="B2072">
        <v>1530</v>
      </c>
    </row>
    <row r="2073" spans="1:2" hidden="1" x14ac:dyDescent="0.2">
      <c r="A2073" t="s">
        <v>8219</v>
      </c>
      <c r="B2073">
        <v>278</v>
      </c>
    </row>
    <row r="2074" spans="1:2" hidden="1" x14ac:dyDescent="0.2">
      <c r="A2074" t="s">
        <v>8219</v>
      </c>
      <c r="B2074">
        <v>350</v>
      </c>
    </row>
    <row r="2075" spans="1:2" hidden="1" x14ac:dyDescent="0.2">
      <c r="A2075" t="s">
        <v>8219</v>
      </c>
      <c r="B2075">
        <v>470</v>
      </c>
    </row>
    <row r="2076" spans="1:2" hidden="1" x14ac:dyDescent="0.2">
      <c r="A2076" t="s">
        <v>8219</v>
      </c>
      <c r="B2076">
        <v>3</v>
      </c>
    </row>
    <row r="2077" spans="1:2" hidden="1" x14ac:dyDescent="0.2">
      <c r="A2077" t="s">
        <v>8219</v>
      </c>
      <c r="B2077">
        <v>8200</v>
      </c>
    </row>
    <row r="2078" spans="1:2" hidden="1" x14ac:dyDescent="0.2">
      <c r="A2078" t="s">
        <v>8219</v>
      </c>
      <c r="B2078">
        <v>8359</v>
      </c>
    </row>
    <row r="2079" spans="1:2" hidden="1" x14ac:dyDescent="0.2">
      <c r="A2079" t="s">
        <v>8219</v>
      </c>
      <c r="B2079">
        <v>188</v>
      </c>
    </row>
    <row r="2080" spans="1:2" hidden="1" x14ac:dyDescent="0.2">
      <c r="A2080" t="s">
        <v>8219</v>
      </c>
      <c r="B2080">
        <v>48</v>
      </c>
    </row>
    <row r="2081" spans="1:2" hidden="1" x14ac:dyDescent="0.2">
      <c r="A2081" t="s">
        <v>8219</v>
      </c>
      <c r="B2081">
        <v>607</v>
      </c>
    </row>
    <row r="2082" spans="1:2" hidden="1" x14ac:dyDescent="0.2">
      <c r="A2082" t="s">
        <v>8219</v>
      </c>
      <c r="B2082">
        <v>50</v>
      </c>
    </row>
    <row r="2083" spans="1:2" hidden="1" x14ac:dyDescent="0.2">
      <c r="A2083" t="s">
        <v>8219</v>
      </c>
      <c r="B2083">
        <v>55</v>
      </c>
    </row>
    <row r="2084" spans="1:2" hidden="1" x14ac:dyDescent="0.2">
      <c r="A2084" t="s">
        <v>8219</v>
      </c>
      <c r="B2084">
        <v>38</v>
      </c>
    </row>
    <row r="2085" spans="1:2" hidden="1" x14ac:dyDescent="0.2">
      <c r="A2085" t="s">
        <v>8219</v>
      </c>
      <c r="B2085">
        <v>25</v>
      </c>
    </row>
    <row r="2086" spans="1:2" hidden="1" x14ac:dyDescent="0.2">
      <c r="A2086" t="s">
        <v>8219</v>
      </c>
      <c r="B2086">
        <v>46</v>
      </c>
    </row>
    <row r="2087" spans="1:2" hidden="1" x14ac:dyDescent="0.2">
      <c r="A2087" t="s">
        <v>8219</v>
      </c>
      <c r="B2087">
        <v>83</v>
      </c>
    </row>
    <row r="2088" spans="1:2" hidden="1" x14ac:dyDescent="0.2">
      <c r="A2088" t="s">
        <v>8219</v>
      </c>
      <c r="B2088">
        <v>35</v>
      </c>
    </row>
    <row r="2089" spans="1:2" hidden="1" x14ac:dyDescent="0.2">
      <c r="A2089" t="s">
        <v>8219</v>
      </c>
      <c r="B2089">
        <v>25</v>
      </c>
    </row>
    <row r="2090" spans="1:2" hidden="1" x14ac:dyDescent="0.2">
      <c r="A2090" t="s">
        <v>8219</v>
      </c>
      <c r="B2090">
        <v>75</v>
      </c>
    </row>
    <row r="2091" spans="1:2" hidden="1" x14ac:dyDescent="0.2">
      <c r="A2091" t="s">
        <v>8219</v>
      </c>
      <c r="B2091">
        <v>62</v>
      </c>
    </row>
    <row r="2092" spans="1:2" hidden="1" x14ac:dyDescent="0.2">
      <c r="A2092" t="s">
        <v>8219</v>
      </c>
      <c r="B2092">
        <v>160</v>
      </c>
    </row>
    <row r="2093" spans="1:2" hidden="1" x14ac:dyDescent="0.2">
      <c r="A2093" t="s">
        <v>8219</v>
      </c>
      <c r="B2093">
        <v>246</v>
      </c>
    </row>
    <row r="2094" spans="1:2" hidden="1" x14ac:dyDescent="0.2">
      <c r="A2094" t="s">
        <v>8219</v>
      </c>
      <c r="B2094">
        <v>55</v>
      </c>
    </row>
    <row r="2095" spans="1:2" hidden="1" x14ac:dyDescent="0.2">
      <c r="A2095" t="s">
        <v>8219</v>
      </c>
      <c r="B2095">
        <v>23</v>
      </c>
    </row>
    <row r="2096" spans="1:2" hidden="1" x14ac:dyDescent="0.2">
      <c r="A2096" t="s">
        <v>8219</v>
      </c>
      <c r="B2096">
        <v>72</v>
      </c>
    </row>
    <row r="2097" spans="1:2" hidden="1" x14ac:dyDescent="0.2">
      <c r="A2097" t="s">
        <v>8219</v>
      </c>
      <c r="B2097">
        <v>22</v>
      </c>
    </row>
    <row r="2098" spans="1:2" hidden="1" x14ac:dyDescent="0.2">
      <c r="A2098" t="s">
        <v>8219</v>
      </c>
      <c r="B2098">
        <v>14</v>
      </c>
    </row>
    <row r="2099" spans="1:2" hidden="1" x14ac:dyDescent="0.2">
      <c r="A2099" t="s">
        <v>8219</v>
      </c>
      <c r="B2099">
        <v>38</v>
      </c>
    </row>
    <row r="2100" spans="1:2" hidden="1" x14ac:dyDescent="0.2">
      <c r="A2100" t="s">
        <v>8219</v>
      </c>
      <c r="B2100">
        <v>32</v>
      </c>
    </row>
    <row r="2101" spans="1:2" hidden="1" x14ac:dyDescent="0.2">
      <c r="A2101" t="s">
        <v>8219</v>
      </c>
      <c r="B2101">
        <v>63</v>
      </c>
    </row>
    <row r="2102" spans="1:2" hidden="1" x14ac:dyDescent="0.2">
      <c r="A2102" t="s">
        <v>8219</v>
      </c>
      <c r="B2102">
        <v>27</v>
      </c>
    </row>
    <row r="2103" spans="1:2" hidden="1" x14ac:dyDescent="0.2">
      <c r="A2103" t="s">
        <v>8219</v>
      </c>
      <c r="B2103">
        <v>44</v>
      </c>
    </row>
    <row r="2104" spans="1:2" hidden="1" x14ac:dyDescent="0.2">
      <c r="A2104" t="s">
        <v>8219</v>
      </c>
      <c r="B2104">
        <v>38</v>
      </c>
    </row>
    <row r="2105" spans="1:2" hidden="1" x14ac:dyDescent="0.2">
      <c r="A2105" t="s">
        <v>8219</v>
      </c>
      <c r="B2105">
        <v>115</v>
      </c>
    </row>
    <row r="2106" spans="1:2" hidden="1" x14ac:dyDescent="0.2">
      <c r="A2106" t="s">
        <v>8219</v>
      </c>
      <c r="B2106">
        <v>37</v>
      </c>
    </row>
    <row r="2107" spans="1:2" hidden="1" x14ac:dyDescent="0.2">
      <c r="A2107" t="s">
        <v>8219</v>
      </c>
      <c r="B2107">
        <v>99</v>
      </c>
    </row>
    <row r="2108" spans="1:2" hidden="1" x14ac:dyDescent="0.2">
      <c r="A2108" t="s">
        <v>8219</v>
      </c>
      <c r="B2108">
        <v>44</v>
      </c>
    </row>
    <row r="2109" spans="1:2" hidden="1" x14ac:dyDescent="0.2">
      <c r="A2109" t="s">
        <v>8219</v>
      </c>
      <c r="B2109">
        <v>58</v>
      </c>
    </row>
    <row r="2110" spans="1:2" hidden="1" x14ac:dyDescent="0.2">
      <c r="A2110" t="s">
        <v>8219</v>
      </c>
      <c r="B2110">
        <v>191</v>
      </c>
    </row>
    <row r="2111" spans="1:2" hidden="1" x14ac:dyDescent="0.2">
      <c r="A2111" t="s">
        <v>8219</v>
      </c>
      <c r="B2111">
        <v>40</v>
      </c>
    </row>
    <row r="2112" spans="1:2" hidden="1" x14ac:dyDescent="0.2">
      <c r="A2112" t="s">
        <v>8219</v>
      </c>
      <c r="B2112">
        <v>38</v>
      </c>
    </row>
    <row r="2113" spans="1:2" hidden="1" x14ac:dyDescent="0.2">
      <c r="A2113" t="s">
        <v>8219</v>
      </c>
      <c r="B2113">
        <v>39</v>
      </c>
    </row>
    <row r="2114" spans="1:2" hidden="1" x14ac:dyDescent="0.2">
      <c r="A2114" t="s">
        <v>8219</v>
      </c>
      <c r="B2114">
        <v>11</v>
      </c>
    </row>
    <row r="2115" spans="1:2" hidden="1" x14ac:dyDescent="0.2">
      <c r="A2115" t="s">
        <v>8219</v>
      </c>
      <c r="B2115">
        <v>107</v>
      </c>
    </row>
    <row r="2116" spans="1:2" hidden="1" x14ac:dyDescent="0.2">
      <c r="A2116" t="s">
        <v>8219</v>
      </c>
      <c r="B2116">
        <v>147</v>
      </c>
    </row>
    <row r="2117" spans="1:2" hidden="1" x14ac:dyDescent="0.2">
      <c r="A2117" t="s">
        <v>8219</v>
      </c>
      <c r="B2117">
        <v>36</v>
      </c>
    </row>
    <row r="2118" spans="1:2" hidden="1" x14ac:dyDescent="0.2">
      <c r="A2118" t="s">
        <v>8219</v>
      </c>
      <c r="B2118">
        <v>92</v>
      </c>
    </row>
    <row r="2119" spans="1:2" hidden="1" x14ac:dyDescent="0.2">
      <c r="A2119" t="s">
        <v>8219</v>
      </c>
      <c r="B2119">
        <v>35</v>
      </c>
    </row>
    <row r="2120" spans="1:2" hidden="1" x14ac:dyDescent="0.2">
      <c r="A2120" t="s">
        <v>8219</v>
      </c>
      <c r="B2120">
        <v>17</v>
      </c>
    </row>
    <row r="2121" spans="1:2" hidden="1" x14ac:dyDescent="0.2">
      <c r="A2121" t="s">
        <v>8219</v>
      </c>
      <c r="B2121">
        <v>22</v>
      </c>
    </row>
    <row r="2122" spans="1:2" hidden="1" x14ac:dyDescent="0.2">
      <c r="A2122" t="s">
        <v>8219</v>
      </c>
      <c r="B2122">
        <v>69</v>
      </c>
    </row>
    <row r="2123" spans="1:2" x14ac:dyDescent="0.2">
      <c r="A2123" t="s">
        <v>8221</v>
      </c>
      <c r="B2123">
        <v>3</v>
      </c>
    </row>
    <row r="2124" spans="1:2" x14ac:dyDescent="0.2">
      <c r="A2124" t="s">
        <v>8221</v>
      </c>
      <c r="B2124">
        <v>3</v>
      </c>
    </row>
    <row r="2125" spans="1:2" x14ac:dyDescent="0.2">
      <c r="A2125" t="s">
        <v>8221</v>
      </c>
      <c r="B2125">
        <v>3</v>
      </c>
    </row>
    <row r="2126" spans="1:2" x14ac:dyDescent="0.2">
      <c r="A2126" t="s">
        <v>8221</v>
      </c>
      <c r="B2126">
        <v>3</v>
      </c>
    </row>
    <row r="2127" spans="1:2" x14ac:dyDescent="0.2">
      <c r="A2127" t="s">
        <v>8221</v>
      </c>
      <c r="B2127">
        <v>3</v>
      </c>
    </row>
    <row r="2128" spans="1:2" x14ac:dyDescent="0.2">
      <c r="A2128" t="s">
        <v>8221</v>
      </c>
      <c r="B2128">
        <v>3</v>
      </c>
    </row>
    <row r="2129" spans="1:2" x14ac:dyDescent="0.2">
      <c r="A2129" t="s">
        <v>8221</v>
      </c>
      <c r="B2129">
        <v>3</v>
      </c>
    </row>
    <row r="2130" spans="1:2" x14ac:dyDescent="0.2">
      <c r="A2130" t="s">
        <v>8221</v>
      </c>
      <c r="B2130">
        <v>3</v>
      </c>
    </row>
    <row r="2131" spans="1:2" x14ac:dyDescent="0.2">
      <c r="A2131" t="s">
        <v>8221</v>
      </c>
      <c r="B2131">
        <v>3</v>
      </c>
    </row>
    <row r="2132" spans="1:2" x14ac:dyDescent="0.2">
      <c r="A2132" t="s">
        <v>8221</v>
      </c>
      <c r="B2132">
        <v>3</v>
      </c>
    </row>
    <row r="2133" spans="1:2" x14ac:dyDescent="0.2">
      <c r="A2133" t="s">
        <v>8221</v>
      </c>
      <c r="B2133">
        <v>3</v>
      </c>
    </row>
    <row r="2134" spans="1:2" x14ac:dyDescent="0.2">
      <c r="A2134" t="s">
        <v>8221</v>
      </c>
      <c r="B2134">
        <v>3</v>
      </c>
    </row>
    <row r="2135" spans="1:2" x14ac:dyDescent="0.2">
      <c r="A2135" t="s">
        <v>8221</v>
      </c>
      <c r="B2135">
        <v>3</v>
      </c>
    </row>
    <row r="2136" spans="1:2" x14ac:dyDescent="0.2">
      <c r="A2136" t="s">
        <v>8221</v>
      </c>
      <c r="B2136">
        <v>3</v>
      </c>
    </row>
    <row r="2137" spans="1:2" x14ac:dyDescent="0.2">
      <c r="A2137" t="s">
        <v>8221</v>
      </c>
      <c r="B2137">
        <v>3</v>
      </c>
    </row>
    <row r="2138" spans="1:2" x14ac:dyDescent="0.2">
      <c r="A2138" t="s">
        <v>8221</v>
      </c>
      <c r="B2138">
        <v>3</v>
      </c>
    </row>
    <row r="2139" spans="1:2" x14ac:dyDescent="0.2">
      <c r="A2139" t="s">
        <v>8221</v>
      </c>
      <c r="B2139">
        <v>3</v>
      </c>
    </row>
    <row r="2140" spans="1:2" x14ac:dyDescent="0.2">
      <c r="A2140" t="s">
        <v>8221</v>
      </c>
      <c r="B2140">
        <v>3</v>
      </c>
    </row>
    <row r="2141" spans="1:2" x14ac:dyDescent="0.2">
      <c r="A2141" t="s">
        <v>8221</v>
      </c>
      <c r="B2141">
        <v>3</v>
      </c>
    </row>
    <row r="2142" spans="1:2" x14ac:dyDescent="0.2">
      <c r="A2142" t="s">
        <v>8221</v>
      </c>
      <c r="B2142">
        <v>3</v>
      </c>
    </row>
    <row r="2143" spans="1:2" x14ac:dyDescent="0.2">
      <c r="A2143" t="s">
        <v>8221</v>
      </c>
      <c r="B2143">
        <v>3</v>
      </c>
    </row>
    <row r="2144" spans="1:2" x14ac:dyDescent="0.2">
      <c r="A2144" t="s">
        <v>8221</v>
      </c>
      <c r="B2144">
        <v>3</v>
      </c>
    </row>
    <row r="2145" spans="1:2" x14ac:dyDescent="0.2">
      <c r="A2145" t="s">
        <v>8221</v>
      </c>
      <c r="B2145">
        <v>3</v>
      </c>
    </row>
    <row r="2146" spans="1:2" x14ac:dyDescent="0.2">
      <c r="A2146" t="s">
        <v>8221</v>
      </c>
      <c r="B2146">
        <v>3</v>
      </c>
    </row>
    <row r="2147" spans="1:2" x14ac:dyDescent="0.2">
      <c r="A2147" t="s">
        <v>8221</v>
      </c>
      <c r="B2147">
        <v>3</v>
      </c>
    </row>
    <row r="2148" spans="1:2" x14ac:dyDescent="0.2">
      <c r="A2148" t="s">
        <v>8221</v>
      </c>
      <c r="B2148">
        <v>3</v>
      </c>
    </row>
    <row r="2149" spans="1:2" x14ac:dyDescent="0.2">
      <c r="A2149" t="s">
        <v>8221</v>
      </c>
      <c r="B2149">
        <v>3</v>
      </c>
    </row>
    <row r="2150" spans="1:2" x14ac:dyDescent="0.2">
      <c r="A2150" t="s">
        <v>8221</v>
      </c>
      <c r="B2150">
        <v>3</v>
      </c>
    </row>
    <row r="2151" spans="1:2" x14ac:dyDescent="0.2">
      <c r="A2151" t="s">
        <v>8221</v>
      </c>
      <c r="B2151">
        <v>3</v>
      </c>
    </row>
    <row r="2152" spans="1:2" x14ac:dyDescent="0.2">
      <c r="A2152" t="s">
        <v>8221</v>
      </c>
      <c r="B2152">
        <v>3</v>
      </c>
    </row>
    <row r="2153" spans="1:2" x14ac:dyDescent="0.2">
      <c r="A2153" t="s">
        <v>8221</v>
      </c>
      <c r="B2153">
        <v>3</v>
      </c>
    </row>
    <row r="2154" spans="1:2" x14ac:dyDescent="0.2">
      <c r="A2154" t="s">
        <v>8221</v>
      </c>
      <c r="B2154">
        <v>3</v>
      </c>
    </row>
    <row r="2155" spans="1:2" x14ac:dyDescent="0.2">
      <c r="A2155" t="s">
        <v>8221</v>
      </c>
      <c r="B2155">
        <v>3</v>
      </c>
    </row>
    <row r="2156" spans="1:2" x14ac:dyDescent="0.2">
      <c r="A2156" t="s">
        <v>8221</v>
      </c>
      <c r="B2156">
        <v>3</v>
      </c>
    </row>
    <row r="2157" spans="1:2" x14ac:dyDescent="0.2">
      <c r="A2157" t="s">
        <v>8221</v>
      </c>
      <c r="B2157">
        <v>3</v>
      </c>
    </row>
    <row r="2158" spans="1:2" x14ac:dyDescent="0.2">
      <c r="A2158" t="s">
        <v>8221</v>
      </c>
      <c r="B2158">
        <v>3</v>
      </c>
    </row>
    <row r="2159" spans="1:2" x14ac:dyDescent="0.2">
      <c r="A2159" t="s">
        <v>8221</v>
      </c>
      <c r="B2159">
        <v>3</v>
      </c>
    </row>
    <row r="2160" spans="1:2" x14ac:dyDescent="0.2">
      <c r="A2160" t="s">
        <v>8221</v>
      </c>
      <c r="B2160">
        <v>3</v>
      </c>
    </row>
    <row r="2161" spans="1:2" x14ac:dyDescent="0.2">
      <c r="A2161" t="s">
        <v>8221</v>
      </c>
      <c r="B2161">
        <v>3</v>
      </c>
    </row>
    <row r="2162" spans="1:2" x14ac:dyDescent="0.2">
      <c r="A2162" t="s">
        <v>8221</v>
      </c>
      <c r="B2162">
        <v>3</v>
      </c>
    </row>
    <row r="2163" spans="1:2" hidden="1" x14ac:dyDescent="0.2">
      <c r="A2163" t="s">
        <v>8219</v>
      </c>
      <c r="B2163">
        <v>13</v>
      </c>
    </row>
    <row r="2164" spans="1:2" hidden="1" x14ac:dyDescent="0.2">
      <c r="A2164" t="s">
        <v>8219</v>
      </c>
      <c r="B2164">
        <v>58</v>
      </c>
    </row>
    <row r="2165" spans="1:2" hidden="1" x14ac:dyDescent="0.2">
      <c r="A2165" t="s">
        <v>8219</v>
      </c>
      <c r="B2165">
        <v>44</v>
      </c>
    </row>
    <row r="2166" spans="1:2" hidden="1" x14ac:dyDescent="0.2">
      <c r="A2166" t="s">
        <v>8219</v>
      </c>
      <c r="B2166">
        <v>83</v>
      </c>
    </row>
    <row r="2167" spans="1:2" hidden="1" x14ac:dyDescent="0.2">
      <c r="A2167" t="s">
        <v>8219</v>
      </c>
      <c r="B2167">
        <v>117</v>
      </c>
    </row>
    <row r="2168" spans="1:2" hidden="1" x14ac:dyDescent="0.2">
      <c r="A2168" t="s">
        <v>8219</v>
      </c>
      <c r="B2168">
        <v>32</v>
      </c>
    </row>
    <row r="2169" spans="1:2" hidden="1" x14ac:dyDescent="0.2">
      <c r="A2169" t="s">
        <v>8219</v>
      </c>
      <c r="B2169">
        <v>8</v>
      </c>
    </row>
    <row r="2170" spans="1:2" hidden="1" x14ac:dyDescent="0.2">
      <c r="A2170" t="s">
        <v>8219</v>
      </c>
      <c r="B2170">
        <v>340</v>
      </c>
    </row>
    <row r="2171" spans="1:2" hidden="1" x14ac:dyDescent="0.2">
      <c r="A2171" t="s">
        <v>8219</v>
      </c>
      <c r="B2171">
        <v>7</v>
      </c>
    </row>
    <row r="2172" spans="1:2" hidden="1" x14ac:dyDescent="0.2">
      <c r="A2172" t="s">
        <v>8219</v>
      </c>
      <c r="B2172">
        <v>19</v>
      </c>
    </row>
    <row r="2173" spans="1:2" hidden="1" x14ac:dyDescent="0.2">
      <c r="A2173" t="s">
        <v>8219</v>
      </c>
      <c r="B2173">
        <v>47</v>
      </c>
    </row>
    <row r="2174" spans="1:2" hidden="1" x14ac:dyDescent="0.2">
      <c r="A2174" t="s">
        <v>8219</v>
      </c>
      <c r="B2174">
        <v>13</v>
      </c>
    </row>
    <row r="2175" spans="1:2" hidden="1" x14ac:dyDescent="0.2">
      <c r="A2175" t="s">
        <v>8219</v>
      </c>
      <c r="B2175">
        <v>90</v>
      </c>
    </row>
    <row r="2176" spans="1:2" hidden="1" x14ac:dyDescent="0.2">
      <c r="A2176" t="s">
        <v>8219</v>
      </c>
      <c r="B2176">
        <v>63</v>
      </c>
    </row>
    <row r="2177" spans="1:2" hidden="1" x14ac:dyDescent="0.2">
      <c r="A2177" t="s">
        <v>8219</v>
      </c>
      <c r="B2177">
        <v>26</v>
      </c>
    </row>
    <row r="2178" spans="1:2" hidden="1" x14ac:dyDescent="0.2">
      <c r="A2178" t="s">
        <v>8219</v>
      </c>
      <c r="B2178">
        <v>71</v>
      </c>
    </row>
    <row r="2179" spans="1:2" hidden="1" x14ac:dyDescent="0.2">
      <c r="A2179" t="s">
        <v>8219</v>
      </c>
      <c r="B2179">
        <v>38</v>
      </c>
    </row>
    <row r="2180" spans="1:2" hidden="1" x14ac:dyDescent="0.2">
      <c r="A2180" t="s">
        <v>8219</v>
      </c>
      <c r="B2180">
        <v>859</v>
      </c>
    </row>
    <row r="2181" spans="1:2" hidden="1" x14ac:dyDescent="0.2">
      <c r="A2181" t="s">
        <v>8219</v>
      </c>
      <c r="B2181">
        <v>21</v>
      </c>
    </row>
    <row r="2182" spans="1:2" hidden="1" x14ac:dyDescent="0.2">
      <c r="A2182" t="s">
        <v>8219</v>
      </c>
      <c r="B2182">
        <v>78</v>
      </c>
    </row>
    <row r="2183" spans="1:2" hidden="1" x14ac:dyDescent="0.2">
      <c r="A2183" t="s">
        <v>8219</v>
      </c>
      <c r="B2183">
        <v>53</v>
      </c>
    </row>
    <row r="2184" spans="1:2" hidden="1" x14ac:dyDescent="0.2">
      <c r="A2184" t="s">
        <v>8219</v>
      </c>
      <c r="B2184">
        <v>356</v>
      </c>
    </row>
    <row r="2185" spans="1:2" hidden="1" x14ac:dyDescent="0.2">
      <c r="A2185" t="s">
        <v>8219</v>
      </c>
      <c r="B2185">
        <v>279</v>
      </c>
    </row>
    <row r="2186" spans="1:2" hidden="1" x14ac:dyDescent="0.2">
      <c r="A2186" t="s">
        <v>8219</v>
      </c>
      <c r="B2186">
        <v>266</v>
      </c>
    </row>
    <row r="2187" spans="1:2" hidden="1" x14ac:dyDescent="0.2">
      <c r="A2187" t="s">
        <v>8219</v>
      </c>
      <c r="B2187">
        <v>623</v>
      </c>
    </row>
    <row r="2188" spans="1:2" hidden="1" x14ac:dyDescent="0.2">
      <c r="A2188" t="s">
        <v>8219</v>
      </c>
      <c r="B2188">
        <v>392</v>
      </c>
    </row>
    <row r="2189" spans="1:2" hidden="1" x14ac:dyDescent="0.2">
      <c r="A2189" t="s">
        <v>8219</v>
      </c>
      <c r="B2189">
        <v>3562</v>
      </c>
    </row>
    <row r="2190" spans="1:2" hidden="1" x14ac:dyDescent="0.2">
      <c r="A2190" t="s">
        <v>8219</v>
      </c>
      <c r="B2190">
        <v>514</v>
      </c>
    </row>
    <row r="2191" spans="1:2" hidden="1" x14ac:dyDescent="0.2">
      <c r="A2191" t="s">
        <v>8219</v>
      </c>
      <c r="B2191">
        <v>88</v>
      </c>
    </row>
    <row r="2192" spans="1:2" hidden="1" x14ac:dyDescent="0.2">
      <c r="A2192" t="s">
        <v>8219</v>
      </c>
      <c r="B2192">
        <v>537</v>
      </c>
    </row>
    <row r="2193" spans="1:2" hidden="1" x14ac:dyDescent="0.2">
      <c r="A2193" t="s">
        <v>8219</v>
      </c>
      <c r="B2193">
        <v>25</v>
      </c>
    </row>
    <row r="2194" spans="1:2" hidden="1" x14ac:dyDescent="0.2">
      <c r="A2194" t="s">
        <v>8219</v>
      </c>
      <c r="B2194">
        <v>3238</v>
      </c>
    </row>
    <row r="2195" spans="1:2" hidden="1" x14ac:dyDescent="0.2">
      <c r="A2195" t="s">
        <v>8219</v>
      </c>
      <c r="B2195">
        <v>897</v>
      </c>
    </row>
    <row r="2196" spans="1:2" hidden="1" x14ac:dyDescent="0.2">
      <c r="A2196" t="s">
        <v>8219</v>
      </c>
      <c r="B2196">
        <v>878</v>
      </c>
    </row>
    <row r="2197" spans="1:2" hidden="1" x14ac:dyDescent="0.2">
      <c r="A2197" t="s">
        <v>8219</v>
      </c>
      <c r="B2197">
        <v>115</v>
      </c>
    </row>
    <row r="2198" spans="1:2" hidden="1" x14ac:dyDescent="0.2">
      <c r="A2198" t="s">
        <v>8219</v>
      </c>
      <c r="B2198">
        <v>234</v>
      </c>
    </row>
    <row r="2199" spans="1:2" hidden="1" x14ac:dyDescent="0.2">
      <c r="A2199" t="s">
        <v>8219</v>
      </c>
      <c r="B2199">
        <v>4330</v>
      </c>
    </row>
    <row r="2200" spans="1:2" hidden="1" x14ac:dyDescent="0.2">
      <c r="A2200" t="s">
        <v>8219</v>
      </c>
      <c r="B2200">
        <v>651</v>
      </c>
    </row>
    <row r="2201" spans="1:2" hidden="1" x14ac:dyDescent="0.2">
      <c r="A2201" t="s">
        <v>8219</v>
      </c>
      <c r="B2201">
        <v>251</v>
      </c>
    </row>
    <row r="2202" spans="1:2" hidden="1" x14ac:dyDescent="0.2">
      <c r="A2202" t="s">
        <v>8219</v>
      </c>
      <c r="B2202">
        <v>263</v>
      </c>
    </row>
    <row r="2203" spans="1:2" hidden="1" x14ac:dyDescent="0.2">
      <c r="A2203" t="s">
        <v>8219</v>
      </c>
      <c r="B2203">
        <v>28</v>
      </c>
    </row>
    <row r="2204" spans="1:2" hidden="1" x14ac:dyDescent="0.2">
      <c r="A2204" t="s">
        <v>8219</v>
      </c>
      <c r="B2204">
        <v>721</v>
      </c>
    </row>
    <row r="2205" spans="1:2" hidden="1" x14ac:dyDescent="0.2">
      <c r="A2205" t="s">
        <v>8219</v>
      </c>
      <c r="B2205">
        <v>50</v>
      </c>
    </row>
    <row r="2206" spans="1:2" hidden="1" x14ac:dyDescent="0.2">
      <c r="A2206" t="s">
        <v>8219</v>
      </c>
      <c r="B2206">
        <v>73</v>
      </c>
    </row>
    <row r="2207" spans="1:2" hidden="1" x14ac:dyDescent="0.2">
      <c r="A2207" t="s">
        <v>8219</v>
      </c>
      <c r="B2207">
        <v>27</v>
      </c>
    </row>
    <row r="2208" spans="1:2" hidden="1" x14ac:dyDescent="0.2">
      <c r="A2208" t="s">
        <v>8219</v>
      </c>
      <c r="B2208">
        <v>34</v>
      </c>
    </row>
    <row r="2209" spans="1:2" hidden="1" x14ac:dyDescent="0.2">
      <c r="A2209" t="s">
        <v>8219</v>
      </c>
      <c r="B2209">
        <v>7</v>
      </c>
    </row>
    <row r="2210" spans="1:2" hidden="1" x14ac:dyDescent="0.2">
      <c r="A2210" t="s">
        <v>8219</v>
      </c>
      <c r="B2210">
        <v>24</v>
      </c>
    </row>
    <row r="2211" spans="1:2" hidden="1" x14ac:dyDescent="0.2">
      <c r="A2211" t="s">
        <v>8219</v>
      </c>
      <c r="B2211">
        <v>15</v>
      </c>
    </row>
    <row r="2212" spans="1:2" hidden="1" x14ac:dyDescent="0.2">
      <c r="A2212" t="s">
        <v>8219</v>
      </c>
      <c r="B2212">
        <v>72</v>
      </c>
    </row>
    <row r="2213" spans="1:2" hidden="1" x14ac:dyDescent="0.2">
      <c r="A2213" t="s">
        <v>8219</v>
      </c>
      <c r="B2213">
        <v>120</v>
      </c>
    </row>
    <row r="2214" spans="1:2" hidden="1" x14ac:dyDescent="0.2">
      <c r="A2214" t="s">
        <v>8219</v>
      </c>
      <c r="B2214">
        <v>123</v>
      </c>
    </row>
    <row r="2215" spans="1:2" hidden="1" x14ac:dyDescent="0.2">
      <c r="A2215" t="s">
        <v>8219</v>
      </c>
      <c r="B2215">
        <v>1</v>
      </c>
    </row>
    <row r="2216" spans="1:2" hidden="1" x14ac:dyDescent="0.2">
      <c r="A2216" t="s">
        <v>8219</v>
      </c>
      <c r="B2216">
        <v>24</v>
      </c>
    </row>
    <row r="2217" spans="1:2" hidden="1" x14ac:dyDescent="0.2">
      <c r="A2217" t="s">
        <v>8219</v>
      </c>
      <c r="B2217">
        <v>33</v>
      </c>
    </row>
    <row r="2218" spans="1:2" hidden="1" x14ac:dyDescent="0.2">
      <c r="A2218" t="s">
        <v>8219</v>
      </c>
      <c r="B2218">
        <v>14</v>
      </c>
    </row>
    <row r="2219" spans="1:2" hidden="1" x14ac:dyDescent="0.2">
      <c r="A2219" t="s">
        <v>8219</v>
      </c>
      <c r="B2219">
        <v>9</v>
      </c>
    </row>
    <row r="2220" spans="1:2" hidden="1" x14ac:dyDescent="0.2">
      <c r="A2220" t="s">
        <v>8219</v>
      </c>
      <c r="B2220">
        <v>76</v>
      </c>
    </row>
    <row r="2221" spans="1:2" hidden="1" x14ac:dyDescent="0.2">
      <c r="A2221" t="s">
        <v>8219</v>
      </c>
      <c r="B2221">
        <v>19</v>
      </c>
    </row>
    <row r="2222" spans="1:2" hidden="1" x14ac:dyDescent="0.2">
      <c r="A2222" t="s">
        <v>8219</v>
      </c>
      <c r="B2222">
        <v>69</v>
      </c>
    </row>
    <row r="2223" spans="1:2" hidden="1" x14ac:dyDescent="0.2">
      <c r="A2223" t="s">
        <v>8219</v>
      </c>
      <c r="B2223">
        <v>218</v>
      </c>
    </row>
    <row r="2224" spans="1:2" hidden="1" x14ac:dyDescent="0.2">
      <c r="A2224" t="s">
        <v>8219</v>
      </c>
      <c r="B2224">
        <v>30</v>
      </c>
    </row>
    <row r="2225" spans="1:2" hidden="1" x14ac:dyDescent="0.2">
      <c r="A2225" t="s">
        <v>8219</v>
      </c>
      <c r="B2225">
        <v>100</v>
      </c>
    </row>
    <row r="2226" spans="1:2" hidden="1" x14ac:dyDescent="0.2">
      <c r="A2226" t="s">
        <v>8219</v>
      </c>
      <c r="B2226">
        <v>296</v>
      </c>
    </row>
    <row r="2227" spans="1:2" hidden="1" x14ac:dyDescent="0.2">
      <c r="A2227" t="s">
        <v>8219</v>
      </c>
      <c r="B2227">
        <v>1204</v>
      </c>
    </row>
    <row r="2228" spans="1:2" hidden="1" x14ac:dyDescent="0.2">
      <c r="A2228" t="s">
        <v>8219</v>
      </c>
      <c r="B2228">
        <v>321</v>
      </c>
    </row>
    <row r="2229" spans="1:2" hidden="1" x14ac:dyDescent="0.2">
      <c r="A2229" t="s">
        <v>8219</v>
      </c>
      <c r="B2229">
        <v>301</v>
      </c>
    </row>
    <row r="2230" spans="1:2" hidden="1" x14ac:dyDescent="0.2">
      <c r="A2230" t="s">
        <v>8219</v>
      </c>
      <c r="B2230">
        <v>144</v>
      </c>
    </row>
    <row r="2231" spans="1:2" hidden="1" x14ac:dyDescent="0.2">
      <c r="A2231" t="s">
        <v>8219</v>
      </c>
      <c r="B2231">
        <v>539</v>
      </c>
    </row>
    <row r="2232" spans="1:2" hidden="1" x14ac:dyDescent="0.2">
      <c r="A2232" t="s">
        <v>8219</v>
      </c>
      <c r="B2232">
        <v>498</v>
      </c>
    </row>
    <row r="2233" spans="1:2" hidden="1" x14ac:dyDescent="0.2">
      <c r="A2233" t="s">
        <v>8219</v>
      </c>
      <c r="B2233">
        <v>1113</v>
      </c>
    </row>
    <row r="2234" spans="1:2" hidden="1" x14ac:dyDescent="0.2">
      <c r="A2234" t="s">
        <v>8219</v>
      </c>
      <c r="B2234">
        <v>988</v>
      </c>
    </row>
    <row r="2235" spans="1:2" hidden="1" x14ac:dyDescent="0.2">
      <c r="A2235" t="s">
        <v>8219</v>
      </c>
      <c r="B2235">
        <v>391</v>
      </c>
    </row>
    <row r="2236" spans="1:2" hidden="1" x14ac:dyDescent="0.2">
      <c r="A2236" t="s">
        <v>8219</v>
      </c>
      <c r="B2236">
        <v>28</v>
      </c>
    </row>
    <row r="2237" spans="1:2" hidden="1" x14ac:dyDescent="0.2">
      <c r="A2237" t="s">
        <v>8219</v>
      </c>
      <c r="B2237">
        <v>147</v>
      </c>
    </row>
    <row r="2238" spans="1:2" hidden="1" x14ac:dyDescent="0.2">
      <c r="A2238" t="s">
        <v>8219</v>
      </c>
      <c r="B2238">
        <v>680</v>
      </c>
    </row>
    <row r="2239" spans="1:2" hidden="1" x14ac:dyDescent="0.2">
      <c r="A2239" t="s">
        <v>8219</v>
      </c>
      <c r="B2239">
        <v>983</v>
      </c>
    </row>
    <row r="2240" spans="1:2" hidden="1" x14ac:dyDescent="0.2">
      <c r="A2240" t="s">
        <v>8219</v>
      </c>
      <c r="B2240">
        <v>79</v>
      </c>
    </row>
    <row r="2241" spans="1:2" hidden="1" x14ac:dyDescent="0.2">
      <c r="A2241" t="s">
        <v>8219</v>
      </c>
      <c r="B2241">
        <v>426</v>
      </c>
    </row>
    <row r="2242" spans="1:2" hidden="1" x14ac:dyDescent="0.2">
      <c r="A2242" t="s">
        <v>8219</v>
      </c>
      <c r="B2242">
        <v>96</v>
      </c>
    </row>
    <row r="2243" spans="1:2" hidden="1" x14ac:dyDescent="0.2">
      <c r="A2243" t="s">
        <v>8219</v>
      </c>
      <c r="B2243">
        <v>163</v>
      </c>
    </row>
    <row r="2244" spans="1:2" hidden="1" x14ac:dyDescent="0.2">
      <c r="A2244" t="s">
        <v>8219</v>
      </c>
      <c r="B2244">
        <v>2525</v>
      </c>
    </row>
    <row r="2245" spans="1:2" hidden="1" x14ac:dyDescent="0.2">
      <c r="A2245" t="s">
        <v>8219</v>
      </c>
      <c r="B2245">
        <v>2035</v>
      </c>
    </row>
    <row r="2246" spans="1:2" hidden="1" x14ac:dyDescent="0.2">
      <c r="A2246" t="s">
        <v>8219</v>
      </c>
      <c r="B2246">
        <v>290</v>
      </c>
    </row>
    <row r="2247" spans="1:2" hidden="1" x14ac:dyDescent="0.2">
      <c r="A2247" t="s">
        <v>8219</v>
      </c>
      <c r="B2247">
        <v>1980</v>
      </c>
    </row>
    <row r="2248" spans="1:2" hidden="1" x14ac:dyDescent="0.2">
      <c r="A2248" t="s">
        <v>8219</v>
      </c>
      <c r="B2248">
        <v>57</v>
      </c>
    </row>
    <row r="2249" spans="1:2" hidden="1" x14ac:dyDescent="0.2">
      <c r="A2249" t="s">
        <v>8219</v>
      </c>
      <c r="B2249">
        <v>380</v>
      </c>
    </row>
    <row r="2250" spans="1:2" hidden="1" x14ac:dyDescent="0.2">
      <c r="A2250" t="s">
        <v>8219</v>
      </c>
      <c r="B2250">
        <v>128</v>
      </c>
    </row>
    <row r="2251" spans="1:2" hidden="1" x14ac:dyDescent="0.2">
      <c r="A2251" t="s">
        <v>8219</v>
      </c>
      <c r="B2251">
        <v>180</v>
      </c>
    </row>
    <row r="2252" spans="1:2" hidden="1" x14ac:dyDescent="0.2">
      <c r="A2252" t="s">
        <v>8219</v>
      </c>
      <c r="B2252">
        <v>571</v>
      </c>
    </row>
    <row r="2253" spans="1:2" hidden="1" x14ac:dyDescent="0.2">
      <c r="A2253" t="s">
        <v>8219</v>
      </c>
      <c r="B2253">
        <v>480</v>
      </c>
    </row>
    <row r="2254" spans="1:2" hidden="1" x14ac:dyDescent="0.2">
      <c r="A2254" t="s">
        <v>8219</v>
      </c>
      <c r="B2254">
        <v>249</v>
      </c>
    </row>
    <row r="2255" spans="1:2" hidden="1" x14ac:dyDescent="0.2">
      <c r="A2255" t="s">
        <v>8219</v>
      </c>
      <c r="B2255">
        <v>84</v>
      </c>
    </row>
    <row r="2256" spans="1:2" hidden="1" x14ac:dyDescent="0.2">
      <c r="A2256" t="s">
        <v>8219</v>
      </c>
      <c r="B2256">
        <v>197</v>
      </c>
    </row>
    <row r="2257" spans="1:2" hidden="1" x14ac:dyDescent="0.2">
      <c r="A2257" t="s">
        <v>8219</v>
      </c>
      <c r="B2257">
        <v>271</v>
      </c>
    </row>
    <row r="2258" spans="1:2" hidden="1" x14ac:dyDescent="0.2">
      <c r="A2258" t="s">
        <v>8219</v>
      </c>
      <c r="B2258">
        <v>50</v>
      </c>
    </row>
    <row r="2259" spans="1:2" hidden="1" x14ac:dyDescent="0.2">
      <c r="A2259" t="s">
        <v>8219</v>
      </c>
      <c r="B2259">
        <v>169</v>
      </c>
    </row>
    <row r="2260" spans="1:2" hidden="1" x14ac:dyDescent="0.2">
      <c r="A2260" t="s">
        <v>8219</v>
      </c>
      <c r="B2260">
        <v>205</v>
      </c>
    </row>
    <row r="2261" spans="1:2" hidden="1" x14ac:dyDescent="0.2">
      <c r="A2261" t="s">
        <v>8219</v>
      </c>
      <c r="B2261">
        <v>206</v>
      </c>
    </row>
    <row r="2262" spans="1:2" hidden="1" x14ac:dyDescent="0.2">
      <c r="A2262" t="s">
        <v>8219</v>
      </c>
      <c r="B2262">
        <v>84</v>
      </c>
    </row>
    <row r="2263" spans="1:2" hidden="1" x14ac:dyDescent="0.2">
      <c r="A2263" t="s">
        <v>8219</v>
      </c>
      <c r="B2263">
        <v>210</v>
      </c>
    </row>
    <row r="2264" spans="1:2" hidden="1" x14ac:dyDescent="0.2">
      <c r="A2264" t="s">
        <v>8219</v>
      </c>
      <c r="B2264">
        <v>181</v>
      </c>
    </row>
    <row r="2265" spans="1:2" hidden="1" x14ac:dyDescent="0.2">
      <c r="A2265" t="s">
        <v>8219</v>
      </c>
      <c r="B2265">
        <v>60</v>
      </c>
    </row>
    <row r="2266" spans="1:2" hidden="1" x14ac:dyDescent="0.2">
      <c r="A2266" t="s">
        <v>8219</v>
      </c>
      <c r="B2266">
        <v>445</v>
      </c>
    </row>
    <row r="2267" spans="1:2" hidden="1" x14ac:dyDescent="0.2">
      <c r="A2267" t="s">
        <v>8219</v>
      </c>
      <c r="B2267">
        <v>17</v>
      </c>
    </row>
    <row r="2268" spans="1:2" hidden="1" x14ac:dyDescent="0.2">
      <c r="A2268" t="s">
        <v>8219</v>
      </c>
      <c r="B2268">
        <v>194</v>
      </c>
    </row>
    <row r="2269" spans="1:2" hidden="1" x14ac:dyDescent="0.2">
      <c r="A2269" t="s">
        <v>8219</v>
      </c>
      <c r="B2269">
        <v>404</v>
      </c>
    </row>
    <row r="2270" spans="1:2" hidden="1" x14ac:dyDescent="0.2">
      <c r="A2270" t="s">
        <v>8219</v>
      </c>
      <c r="B2270">
        <v>194</v>
      </c>
    </row>
    <row r="2271" spans="1:2" hidden="1" x14ac:dyDescent="0.2">
      <c r="A2271" t="s">
        <v>8219</v>
      </c>
      <c r="B2271">
        <v>902</v>
      </c>
    </row>
    <row r="2272" spans="1:2" hidden="1" x14ac:dyDescent="0.2">
      <c r="A2272" t="s">
        <v>8219</v>
      </c>
      <c r="B2272">
        <v>1670</v>
      </c>
    </row>
    <row r="2273" spans="1:2" hidden="1" x14ac:dyDescent="0.2">
      <c r="A2273" t="s">
        <v>8219</v>
      </c>
      <c r="B2273">
        <v>1328</v>
      </c>
    </row>
    <row r="2274" spans="1:2" hidden="1" x14ac:dyDescent="0.2">
      <c r="A2274" t="s">
        <v>8219</v>
      </c>
      <c r="B2274">
        <v>944</v>
      </c>
    </row>
    <row r="2275" spans="1:2" hidden="1" x14ac:dyDescent="0.2">
      <c r="A2275" t="s">
        <v>8219</v>
      </c>
      <c r="B2275">
        <v>147</v>
      </c>
    </row>
    <row r="2276" spans="1:2" hidden="1" x14ac:dyDescent="0.2">
      <c r="A2276" t="s">
        <v>8219</v>
      </c>
      <c r="B2276">
        <v>99</v>
      </c>
    </row>
    <row r="2277" spans="1:2" hidden="1" x14ac:dyDescent="0.2">
      <c r="A2277" t="s">
        <v>8219</v>
      </c>
      <c r="B2277">
        <v>79</v>
      </c>
    </row>
    <row r="2278" spans="1:2" hidden="1" x14ac:dyDescent="0.2">
      <c r="A2278" t="s">
        <v>8219</v>
      </c>
      <c r="B2278">
        <v>75</v>
      </c>
    </row>
    <row r="2279" spans="1:2" hidden="1" x14ac:dyDescent="0.2">
      <c r="A2279" t="s">
        <v>8219</v>
      </c>
      <c r="B2279">
        <v>207</v>
      </c>
    </row>
    <row r="2280" spans="1:2" hidden="1" x14ac:dyDescent="0.2">
      <c r="A2280" t="s">
        <v>8219</v>
      </c>
      <c r="B2280">
        <v>102</v>
      </c>
    </row>
    <row r="2281" spans="1:2" hidden="1" x14ac:dyDescent="0.2">
      <c r="A2281" t="s">
        <v>8219</v>
      </c>
      <c r="B2281">
        <v>32</v>
      </c>
    </row>
    <row r="2282" spans="1:2" hidden="1" x14ac:dyDescent="0.2">
      <c r="A2282" t="s">
        <v>8219</v>
      </c>
      <c r="B2282">
        <v>480</v>
      </c>
    </row>
    <row r="2283" spans="1:2" hidden="1" x14ac:dyDescent="0.2">
      <c r="A2283" t="s">
        <v>8219</v>
      </c>
      <c r="B2283">
        <v>11</v>
      </c>
    </row>
    <row r="2284" spans="1:2" hidden="1" x14ac:dyDescent="0.2">
      <c r="A2284" t="s">
        <v>8219</v>
      </c>
      <c r="B2284">
        <v>12</v>
      </c>
    </row>
    <row r="2285" spans="1:2" hidden="1" x14ac:dyDescent="0.2">
      <c r="A2285" t="s">
        <v>8219</v>
      </c>
      <c r="B2285">
        <v>48</v>
      </c>
    </row>
    <row r="2286" spans="1:2" hidden="1" x14ac:dyDescent="0.2">
      <c r="A2286" t="s">
        <v>8219</v>
      </c>
      <c r="B2286">
        <v>59</v>
      </c>
    </row>
    <row r="2287" spans="1:2" hidden="1" x14ac:dyDescent="0.2">
      <c r="A2287" t="s">
        <v>8219</v>
      </c>
      <c r="B2287">
        <v>79</v>
      </c>
    </row>
    <row r="2288" spans="1:2" hidden="1" x14ac:dyDescent="0.2">
      <c r="A2288" t="s">
        <v>8219</v>
      </c>
      <c r="B2288">
        <v>14</v>
      </c>
    </row>
    <row r="2289" spans="1:2" hidden="1" x14ac:dyDescent="0.2">
      <c r="A2289" t="s">
        <v>8219</v>
      </c>
      <c r="B2289">
        <v>106</v>
      </c>
    </row>
    <row r="2290" spans="1:2" hidden="1" x14ac:dyDescent="0.2">
      <c r="A2290" t="s">
        <v>8219</v>
      </c>
      <c r="B2290">
        <v>25</v>
      </c>
    </row>
    <row r="2291" spans="1:2" hidden="1" x14ac:dyDescent="0.2">
      <c r="A2291" t="s">
        <v>8219</v>
      </c>
      <c r="B2291">
        <v>25</v>
      </c>
    </row>
    <row r="2292" spans="1:2" hidden="1" x14ac:dyDescent="0.2">
      <c r="A2292" t="s">
        <v>8219</v>
      </c>
      <c r="B2292">
        <v>29</v>
      </c>
    </row>
    <row r="2293" spans="1:2" hidden="1" x14ac:dyDescent="0.2">
      <c r="A2293" t="s">
        <v>8219</v>
      </c>
      <c r="B2293">
        <v>43</v>
      </c>
    </row>
    <row r="2294" spans="1:2" hidden="1" x14ac:dyDescent="0.2">
      <c r="A2294" t="s">
        <v>8219</v>
      </c>
      <c r="B2294">
        <v>46</v>
      </c>
    </row>
    <row r="2295" spans="1:2" hidden="1" x14ac:dyDescent="0.2">
      <c r="A2295" t="s">
        <v>8219</v>
      </c>
      <c r="B2295">
        <v>27</v>
      </c>
    </row>
    <row r="2296" spans="1:2" hidden="1" x14ac:dyDescent="0.2">
      <c r="A2296" t="s">
        <v>8219</v>
      </c>
      <c r="B2296">
        <v>112</v>
      </c>
    </row>
    <row r="2297" spans="1:2" hidden="1" x14ac:dyDescent="0.2">
      <c r="A2297" t="s">
        <v>8219</v>
      </c>
      <c r="B2297">
        <v>34</v>
      </c>
    </row>
    <row r="2298" spans="1:2" hidden="1" x14ac:dyDescent="0.2">
      <c r="A2298" t="s">
        <v>8219</v>
      </c>
      <c r="B2298">
        <v>145</v>
      </c>
    </row>
    <row r="2299" spans="1:2" hidden="1" x14ac:dyDescent="0.2">
      <c r="A2299" t="s">
        <v>8219</v>
      </c>
      <c r="B2299">
        <v>19</v>
      </c>
    </row>
    <row r="2300" spans="1:2" hidden="1" x14ac:dyDescent="0.2">
      <c r="A2300" t="s">
        <v>8219</v>
      </c>
      <c r="B2300">
        <v>288</v>
      </c>
    </row>
    <row r="2301" spans="1:2" hidden="1" x14ac:dyDescent="0.2">
      <c r="A2301" t="s">
        <v>8219</v>
      </c>
      <c r="B2301">
        <v>14</v>
      </c>
    </row>
    <row r="2302" spans="1:2" hidden="1" x14ac:dyDescent="0.2">
      <c r="A2302" t="s">
        <v>8219</v>
      </c>
      <c r="B2302">
        <v>7</v>
      </c>
    </row>
    <row r="2303" spans="1:2" hidden="1" x14ac:dyDescent="0.2">
      <c r="A2303" t="s">
        <v>8219</v>
      </c>
      <c r="B2303">
        <v>211</v>
      </c>
    </row>
    <row r="2304" spans="1:2" hidden="1" x14ac:dyDescent="0.2">
      <c r="A2304" t="s">
        <v>8219</v>
      </c>
      <c r="B2304">
        <v>85</v>
      </c>
    </row>
    <row r="2305" spans="1:2" hidden="1" x14ac:dyDescent="0.2">
      <c r="A2305" t="s">
        <v>8219</v>
      </c>
      <c r="B2305">
        <v>103</v>
      </c>
    </row>
    <row r="2306" spans="1:2" hidden="1" x14ac:dyDescent="0.2">
      <c r="A2306" t="s">
        <v>8219</v>
      </c>
      <c r="B2306">
        <v>113</v>
      </c>
    </row>
    <row r="2307" spans="1:2" hidden="1" x14ac:dyDescent="0.2">
      <c r="A2307" t="s">
        <v>8219</v>
      </c>
      <c r="B2307">
        <v>167</v>
      </c>
    </row>
    <row r="2308" spans="1:2" hidden="1" x14ac:dyDescent="0.2">
      <c r="A2308" t="s">
        <v>8219</v>
      </c>
      <c r="B2308">
        <v>73</v>
      </c>
    </row>
    <row r="2309" spans="1:2" hidden="1" x14ac:dyDescent="0.2">
      <c r="A2309" t="s">
        <v>8219</v>
      </c>
      <c r="B2309">
        <v>75</v>
      </c>
    </row>
    <row r="2310" spans="1:2" hidden="1" x14ac:dyDescent="0.2">
      <c r="A2310" t="s">
        <v>8219</v>
      </c>
      <c r="B2310">
        <v>614</v>
      </c>
    </row>
    <row r="2311" spans="1:2" hidden="1" x14ac:dyDescent="0.2">
      <c r="A2311" t="s">
        <v>8219</v>
      </c>
      <c r="B2311">
        <v>107</v>
      </c>
    </row>
    <row r="2312" spans="1:2" hidden="1" x14ac:dyDescent="0.2">
      <c r="A2312" t="s">
        <v>8219</v>
      </c>
      <c r="B2312">
        <v>1224</v>
      </c>
    </row>
    <row r="2313" spans="1:2" hidden="1" x14ac:dyDescent="0.2">
      <c r="A2313" t="s">
        <v>8219</v>
      </c>
      <c r="B2313">
        <v>104</v>
      </c>
    </row>
    <row r="2314" spans="1:2" hidden="1" x14ac:dyDescent="0.2">
      <c r="A2314" t="s">
        <v>8219</v>
      </c>
      <c r="B2314">
        <v>79</v>
      </c>
    </row>
    <row r="2315" spans="1:2" hidden="1" x14ac:dyDescent="0.2">
      <c r="A2315" t="s">
        <v>8219</v>
      </c>
      <c r="B2315">
        <v>157</v>
      </c>
    </row>
    <row r="2316" spans="1:2" hidden="1" x14ac:dyDescent="0.2">
      <c r="A2316" t="s">
        <v>8219</v>
      </c>
      <c r="B2316">
        <v>50</v>
      </c>
    </row>
    <row r="2317" spans="1:2" hidden="1" x14ac:dyDescent="0.2">
      <c r="A2317" t="s">
        <v>8219</v>
      </c>
      <c r="B2317">
        <v>64</v>
      </c>
    </row>
    <row r="2318" spans="1:2" hidden="1" x14ac:dyDescent="0.2">
      <c r="A2318" t="s">
        <v>8219</v>
      </c>
      <c r="B2318">
        <v>200</v>
      </c>
    </row>
    <row r="2319" spans="1:2" hidden="1" x14ac:dyDescent="0.2">
      <c r="A2319" t="s">
        <v>8219</v>
      </c>
      <c r="B2319">
        <v>22</v>
      </c>
    </row>
    <row r="2320" spans="1:2" hidden="1" x14ac:dyDescent="0.2">
      <c r="A2320" t="s">
        <v>8219</v>
      </c>
      <c r="B2320">
        <v>163</v>
      </c>
    </row>
    <row r="2321" spans="1:2" hidden="1" x14ac:dyDescent="0.2">
      <c r="A2321" t="s">
        <v>8219</v>
      </c>
      <c r="B2321">
        <v>77</v>
      </c>
    </row>
    <row r="2322" spans="1:2" hidden="1" x14ac:dyDescent="0.2">
      <c r="A2322" t="s">
        <v>8219</v>
      </c>
      <c r="B2322">
        <v>89</v>
      </c>
    </row>
    <row r="2323" spans="1:2" hidden="1" x14ac:dyDescent="0.2">
      <c r="A2323" t="s">
        <v>8222</v>
      </c>
      <c r="B2323">
        <v>64</v>
      </c>
    </row>
    <row r="2324" spans="1:2" hidden="1" x14ac:dyDescent="0.2">
      <c r="A2324" t="s">
        <v>8222</v>
      </c>
      <c r="B2324">
        <v>4</v>
      </c>
    </row>
    <row r="2325" spans="1:2" hidden="1" x14ac:dyDescent="0.2">
      <c r="A2325" t="s">
        <v>8222</v>
      </c>
      <c r="B2325">
        <v>4</v>
      </c>
    </row>
    <row r="2326" spans="1:2" hidden="1" x14ac:dyDescent="0.2">
      <c r="A2326" t="s">
        <v>8222</v>
      </c>
      <c r="B2326">
        <v>61</v>
      </c>
    </row>
    <row r="2327" spans="1:2" hidden="1" x14ac:dyDescent="0.2">
      <c r="A2327" t="s">
        <v>8222</v>
      </c>
      <c r="B2327">
        <v>7</v>
      </c>
    </row>
    <row r="2328" spans="1:2" hidden="1" x14ac:dyDescent="0.2">
      <c r="A2328" t="s">
        <v>8222</v>
      </c>
      <c r="B2328">
        <v>1</v>
      </c>
    </row>
    <row r="2329" spans="1:2" hidden="1" x14ac:dyDescent="0.2">
      <c r="A2329" t="s">
        <v>8219</v>
      </c>
      <c r="B2329">
        <v>3355</v>
      </c>
    </row>
    <row r="2330" spans="1:2" hidden="1" x14ac:dyDescent="0.2">
      <c r="A2330" t="s">
        <v>8219</v>
      </c>
      <c r="B2330">
        <v>537</v>
      </c>
    </row>
    <row r="2331" spans="1:2" hidden="1" x14ac:dyDescent="0.2">
      <c r="A2331" t="s">
        <v>8219</v>
      </c>
      <c r="B2331">
        <v>125</v>
      </c>
    </row>
    <row r="2332" spans="1:2" hidden="1" x14ac:dyDescent="0.2">
      <c r="A2332" t="s">
        <v>8219</v>
      </c>
      <c r="B2332">
        <v>163</v>
      </c>
    </row>
    <row r="2333" spans="1:2" hidden="1" x14ac:dyDescent="0.2">
      <c r="A2333" t="s">
        <v>8219</v>
      </c>
      <c r="B2333">
        <v>283</v>
      </c>
    </row>
    <row r="2334" spans="1:2" hidden="1" x14ac:dyDescent="0.2">
      <c r="A2334" t="s">
        <v>8219</v>
      </c>
      <c r="B2334">
        <v>352</v>
      </c>
    </row>
    <row r="2335" spans="1:2" hidden="1" x14ac:dyDescent="0.2">
      <c r="A2335" t="s">
        <v>8219</v>
      </c>
      <c r="B2335">
        <v>94</v>
      </c>
    </row>
    <row r="2336" spans="1:2" hidden="1" x14ac:dyDescent="0.2">
      <c r="A2336" t="s">
        <v>8219</v>
      </c>
      <c r="B2336">
        <v>67</v>
      </c>
    </row>
    <row r="2337" spans="1:2" hidden="1" x14ac:dyDescent="0.2">
      <c r="A2337" t="s">
        <v>8219</v>
      </c>
      <c r="B2337">
        <v>221</v>
      </c>
    </row>
    <row r="2338" spans="1:2" hidden="1" x14ac:dyDescent="0.2">
      <c r="A2338" t="s">
        <v>8219</v>
      </c>
      <c r="B2338">
        <v>2165</v>
      </c>
    </row>
    <row r="2339" spans="1:2" hidden="1" x14ac:dyDescent="0.2">
      <c r="A2339" t="s">
        <v>8219</v>
      </c>
      <c r="B2339">
        <v>179</v>
      </c>
    </row>
    <row r="2340" spans="1:2" hidden="1" x14ac:dyDescent="0.2">
      <c r="A2340" t="s">
        <v>8219</v>
      </c>
      <c r="B2340">
        <v>123</v>
      </c>
    </row>
    <row r="2341" spans="1:2" hidden="1" x14ac:dyDescent="0.2">
      <c r="A2341" t="s">
        <v>8219</v>
      </c>
      <c r="B2341">
        <v>1104</v>
      </c>
    </row>
    <row r="2342" spans="1:2" hidden="1" x14ac:dyDescent="0.2">
      <c r="A2342" t="s">
        <v>8219</v>
      </c>
      <c r="B2342">
        <v>403</v>
      </c>
    </row>
    <row r="2343" spans="1:2" hidden="1" x14ac:dyDescent="0.2">
      <c r="A2343" t="s">
        <v>8220</v>
      </c>
      <c r="B2343">
        <v>0</v>
      </c>
    </row>
    <row r="2344" spans="1:2" hidden="1" x14ac:dyDescent="0.2">
      <c r="A2344" t="s">
        <v>8220</v>
      </c>
      <c r="B2344">
        <v>0</v>
      </c>
    </row>
    <row r="2345" spans="1:2" hidden="1" x14ac:dyDescent="0.2">
      <c r="A2345" t="s">
        <v>8220</v>
      </c>
      <c r="B2345">
        <v>1</v>
      </c>
    </row>
    <row r="2346" spans="1:2" hidden="1" x14ac:dyDescent="0.2">
      <c r="A2346" t="s">
        <v>8220</v>
      </c>
      <c r="B2346">
        <v>1</v>
      </c>
    </row>
    <row r="2347" spans="1:2" hidden="1" x14ac:dyDescent="0.2">
      <c r="A2347" t="s">
        <v>8220</v>
      </c>
      <c r="B2347">
        <v>0</v>
      </c>
    </row>
    <row r="2348" spans="1:2" hidden="1" x14ac:dyDescent="0.2">
      <c r="A2348" t="s">
        <v>8220</v>
      </c>
      <c r="B2348">
        <v>3</v>
      </c>
    </row>
    <row r="2349" spans="1:2" hidden="1" x14ac:dyDescent="0.2">
      <c r="A2349" t="s">
        <v>8220</v>
      </c>
      <c r="B2349">
        <v>1</v>
      </c>
    </row>
    <row r="2350" spans="1:2" hidden="1" x14ac:dyDescent="0.2">
      <c r="A2350" t="s">
        <v>8220</v>
      </c>
      <c r="B2350">
        <v>5</v>
      </c>
    </row>
    <row r="2351" spans="1:2" hidden="1" x14ac:dyDescent="0.2">
      <c r="A2351" t="s">
        <v>8220</v>
      </c>
      <c r="B2351">
        <v>0</v>
      </c>
    </row>
    <row r="2352" spans="1:2" hidden="1" x14ac:dyDescent="0.2">
      <c r="A2352" t="s">
        <v>8220</v>
      </c>
      <c r="B2352">
        <v>0</v>
      </c>
    </row>
    <row r="2353" spans="1:2" hidden="1" x14ac:dyDescent="0.2">
      <c r="A2353" t="s">
        <v>8220</v>
      </c>
      <c r="B2353">
        <v>7</v>
      </c>
    </row>
    <row r="2354" spans="1:2" hidden="1" x14ac:dyDescent="0.2">
      <c r="A2354" t="s">
        <v>8220</v>
      </c>
      <c r="B2354">
        <v>0</v>
      </c>
    </row>
    <row r="2355" spans="1:2" hidden="1" x14ac:dyDescent="0.2">
      <c r="A2355" t="s">
        <v>8220</v>
      </c>
      <c r="B2355">
        <v>0</v>
      </c>
    </row>
    <row r="2356" spans="1:2" hidden="1" x14ac:dyDescent="0.2">
      <c r="A2356" t="s">
        <v>8220</v>
      </c>
      <c r="B2356">
        <v>1</v>
      </c>
    </row>
    <row r="2357" spans="1:2" hidden="1" x14ac:dyDescent="0.2">
      <c r="A2357" t="s">
        <v>8220</v>
      </c>
      <c r="B2357">
        <v>2</v>
      </c>
    </row>
    <row r="2358" spans="1:2" hidden="1" x14ac:dyDescent="0.2">
      <c r="A2358" t="s">
        <v>8220</v>
      </c>
      <c r="B2358">
        <v>0</v>
      </c>
    </row>
    <row r="2359" spans="1:2" hidden="1" x14ac:dyDescent="0.2">
      <c r="A2359" t="s">
        <v>8220</v>
      </c>
      <c r="B2359">
        <v>0</v>
      </c>
    </row>
    <row r="2360" spans="1:2" hidden="1" x14ac:dyDescent="0.2">
      <c r="A2360" t="s">
        <v>8220</v>
      </c>
      <c r="B2360">
        <v>0</v>
      </c>
    </row>
    <row r="2361" spans="1:2" hidden="1" x14ac:dyDescent="0.2">
      <c r="A2361" t="s">
        <v>8220</v>
      </c>
      <c r="B2361">
        <v>3</v>
      </c>
    </row>
    <row r="2362" spans="1:2" hidden="1" x14ac:dyDescent="0.2">
      <c r="A2362" t="s">
        <v>8220</v>
      </c>
      <c r="B2362">
        <v>1</v>
      </c>
    </row>
    <row r="2363" spans="1:2" hidden="1" x14ac:dyDescent="0.2">
      <c r="A2363" t="s">
        <v>8220</v>
      </c>
      <c r="B2363">
        <v>0</v>
      </c>
    </row>
    <row r="2364" spans="1:2" hidden="1" x14ac:dyDescent="0.2">
      <c r="A2364" t="s">
        <v>8220</v>
      </c>
      <c r="B2364">
        <v>2</v>
      </c>
    </row>
    <row r="2365" spans="1:2" hidden="1" x14ac:dyDescent="0.2">
      <c r="A2365" t="s">
        <v>8220</v>
      </c>
      <c r="B2365">
        <v>0</v>
      </c>
    </row>
    <row r="2366" spans="1:2" hidden="1" x14ac:dyDescent="0.2">
      <c r="A2366" t="s">
        <v>8220</v>
      </c>
      <c r="B2366">
        <v>0</v>
      </c>
    </row>
    <row r="2367" spans="1:2" hidden="1" x14ac:dyDescent="0.2">
      <c r="A2367" t="s">
        <v>8220</v>
      </c>
      <c r="B2367">
        <v>0</v>
      </c>
    </row>
    <row r="2368" spans="1:2" hidden="1" x14ac:dyDescent="0.2">
      <c r="A2368" t="s">
        <v>8220</v>
      </c>
      <c r="B2368">
        <v>27</v>
      </c>
    </row>
    <row r="2369" spans="1:2" hidden="1" x14ac:dyDescent="0.2">
      <c r="A2369" t="s">
        <v>8220</v>
      </c>
      <c r="B2369">
        <v>14</v>
      </c>
    </row>
    <row r="2370" spans="1:2" hidden="1" x14ac:dyDescent="0.2">
      <c r="A2370" t="s">
        <v>8220</v>
      </c>
      <c r="B2370">
        <v>2</v>
      </c>
    </row>
    <row r="2371" spans="1:2" hidden="1" x14ac:dyDescent="0.2">
      <c r="A2371" t="s">
        <v>8220</v>
      </c>
      <c r="B2371">
        <v>0</v>
      </c>
    </row>
    <row r="2372" spans="1:2" hidden="1" x14ac:dyDescent="0.2">
      <c r="A2372" t="s">
        <v>8220</v>
      </c>
      <c r="B2372">
        <v>4</v>
      </c>
    </row>
    <row r="2373" spans="1:2" hidden="1" x14ac:dyDescent="0.2">
      <c r="A2373" t="s">
        <v>8220</v>
      </c>
      <c r="B2373">
        <v>0</v>
      </c>
    </row>
    <row r="2374" spans="1:2" hidden="1" x14ac:dyDescent="0.2">
      <c r="A2374" t="s">
        <v>8220</v>
      </c>
      <c r="B2374">
        <v>6</v>
      </c>
    </row>
    <row r="2375" spans="1:2" hidden="1" x14ac:dyDescent="0.2">
      <c r="A2375" t="s">
        <v>8220</v>
      </c>
      <c r="B2375">
        <v>1</v>
      </c>
    </row>
    <row r="2376" spans="1:2" hidden="1" x14ac:dyDescent="0.2">
      <c r="A2376" t="s">
        <v>8220</v>
      </c>
      <c r="B2376">
        <v>1</v>
      </c>
    </row>
    <row r="2377" spans="1:2" hidden="1" x14ac:dyDescent="0.2">
      <c r="A2377" t="s">
        <v>8220</v>
      </c>
      <c r="B2377">
        <v>0</v>
      </c>
    </row>
    <row r="2378" spans="1:2" hidden="1" x14ac:dyDescent="0.2">
      <c r="A2378" t="s">
        <v>8220</v>
      </c>
      <c r="B2378">
        <v>4</v>
      </c>
    </row>
    <row r="2379" spans="1:2" hidden="1" x14ac:dyDescent="0.2">
      <c r="A2379" t="s">
        <v>8220</v>
      </c>
      <c r="B2379">
        <v>0</v>
      </c>
    </row>
    <row r="2380" spans="1:2" hidden="1" x14ac:dyDescent="0.2">
      <c r="A2380" t="s">
        <v>8220</v>
      </c>
      <c r="B2380">
        <v>0</v>
      </c>
    </row>
    <row r="2381" spans="1:2" hidden="1" x14ac:dyDescent="0.2">
      <c r="A2381" t="s">
        <v>8220</v>
      </c>
      <c r="B2381">
        <v>0</v>
      </c>
    </row>
    <row r="2382" spans="1:2" hidden="1" x14ac:dyDescent="0.2">
      <c r="A2382" t="s">
        <v>8220</v>
      </c>
      <c r="B2382">
        <v>3</v>
      </c>
    </row>
    <row r="2383" spans="1:2" hidden="1" x14ac:dyDescent="0.2">
      <c r="A2383" t="s">
        <v>8220</v>
      </c>
      <c r="B2383">
        <v>7</v>
      </c>
    </row>
    <row r="2384" spans="1:2" hidden="1" x14ac:dyDescent="0.2">
      <c r="A2384" t="s">
        <v>8220</v>
      </c>
      <c r="B2384">
        <v>2</v>
      </c>
    </row>
    <row r="2385" spans="1:2" hidden="1" x14ac:dyDescent="0.2">
      <c r="A2385" t="s">
        <v>8220</v>
      </c>
      <c r="B2385">
        <v>3</v>
      </c>
    </row>
    <row r="2386" spans="1:2" hidden="1" x14ac:dyDescent="0.2">
      <c r="A2386" t="s">
        <v>8220</v>
      </c>
      <c r="B2386">
        <v>8</v>
      </c>
    </row>
    <row r="2387" spans="1:2" hidden="1" x14ac:dyDescent="0.2">
      <c r="A2387" t="s">
        <v>8220</v>
      </c>
      <c r="B2387">
        <v>7</v>
      </c>
    </row>
    <row r="2388" spans="1:2" hidden="1" x14ac:dyDescent="0.2">
      <c r="A2388" t="s">
        <v>8220</v>
      </c>
      <c r="B2388">
        <v>0</v>
      </c>
    </row>
    <row r="2389" spans="1:2" hidden="1" x14ac:dyDescent="0.2">
      <c r="A2389" t="s">
        <v>8220</v>
      </c>
      <c r="B2389">
        <v>3</v>
      </c>
    </row>
    <row r="2390" spans="1:2" hidden="1" x14ac:dyDescent="0.2">
      <c r="A2390" t="s">
        <v>8220</v>
      </c>
      <c r="B2390">
        <v>8</v>
      </c>
    </row>
    <row r="2391" spans="1:2" hidden="1" x14ac:dyDescent="0.2">
      <c r="A2391" t="s">
        <v>8220</v>
      </c>
      <c r="B2391">
        <v>1</v>
      </c>
    </row>
    <row r="2392" spans="1:2" hidden="1" x14ac:dyDescent="0.2">
      <c r="A2392" t="s">
        <v>8220</v>
      </c>
      <c r="B2392">
        <v>0</v>
      </c>
    </row>
    <row r="2393" spans="1:2" hidden="1" x14ac:dyDescent="0.2">
      <c r="A2393" t="s">
        <v>8220</v>
      </c>
      <c r="B2393">
        <v>1</v>
      </c>
    </row>
    <row r="2394" spans="1:2" hidden="1" x14ac:dyDescent="0.2">
      <c r="A2394" t="s">
        <v>8220</v>
      </c>
      <c r="B2394">
        <v>0</v>
      </c>
    </row>
    <row r="2395" spans="1:2" hidden="1" x14ac:dyDescent="0.2">
      <c r="A2395" t="s">
        <v>8220</v>
      </c>
      <c r="B2395">
        <v>1</v>
      </c>
    </row>
    <row r="2396" spans="1:2" hidden="1" x14ac:dyDescent="0.2">
      <c r="A2396" t="s">
        <v>8220</v>
      </c>
      <c r="B2396">
        <v>2</v>
      </c>
    </row>
    <row r="2397" spans="1:2" hidden="1" x14ac:dyDescent="0.2">
      <c r="A2397" t="s">
        <v>8220</v>
      </c>
      <c r="B2397">
        <v>0</v>
      </c>
    </row>
    <row r="2398" spans="1:2" hidden="1" x14ac:dyDescent="0.2">
      <c r="A2398" t="s">
        <v>8220</v>
      </c>
      <c r="B2398">
        <v>1</v>
      </c>
    </row>
    <row r="2399" spans="1:2" hidden="1" x14ac:dyDescent="0.2">
      <c r="A2399" t="s">
        <v>8220</v>
      </c>
      <c r="B2399">
        <v>0</v>
      </c>
    </row>
    <row r="2400" spans="1:2" hidden="1" x14ac:dyDescent="0.2">
      <c r="A2400" t="s">
        <v>8220</v>
      </c>
      <c r="B2400">
        <v>0</v>
      </c>
    </row>
    <row r="2401" spans="1:2" hidden="1" x14ac:dyDescent="0.2">
      <c r="A2401" t="s">
        <v>8220</v>
      </c>
      <c r="B2401">
        <v>0</v>
      </c>
    </row>
    <row r="2402" spans="1:2" hidden="1" x14ac:dyDescent="0.2">
      <c r="A2402" t="s">
        <v>8220</v>
      </c>
      <c r="B2402">
        <v>0</v>
      </c>
    </row>
    <row r="2403" spans="1:2" x14ac:dyDescent="0.2">
      <c r="A2403" t="s">
        <v>8221</v>
      </c>
      <c r="B2403">
        <v>3</v>
      </c>
    </row>
    <row r="2404" spans="1:2" x14ac:dyDescent="0.2">
      <c r="A2404" t="s">
        <v>8221</v>
      </c>
      <c r="B2404">
        <v>3</v>
      </c>
    </row>
    <row r="2405" spans="1:2" x14ac:dyDescent="0.2">
      <c r="A2405" t="s">
        <v>8221</v>
      </c>
      <c r="B2405">
        <v>2</v>
      </c>
    </row>
    <row r="2406" spans="1:2" x14ac:dyDescent="0.2">
      <c r="A2406" t="s">
        <v>8221</v>
      </c>
      <c r="B2406">
        <v>2</v>
      </c>
    </row>
    <row r="2407" spans="1:2" x14ac:dyDescent="0.2">
      <c r="A2407" t="s">
        <v>8221</v>
      </c>
      <c r="B2407">
        <v>2</v>
      </c>
    </row>
    <row r="2408" spans="1:2" x14ac:dyDescent="0.2">
      <c r="A2408" t="s">
        <v>8221</v>
      </c>
      <c r="B2408">
        <v>2</v>
      </c>
    </row>
    <row r="2409" spans="1:2" x14ac:dyDescent="0.2">
      <c r="A2409" t="s">
        <v>8221</v>
      </c>
      <c r="B2409">
        <v>2</v>
      </c>
    </row>
    <row r="2410" spans="1:2" x14ac:dyDescent="0.2">
      <c r="A2410" t="s">
        <v>8221</v>
      </c>
      <c r="B2410">
        <v>2</v>
      </c>
    </row>
    <row r="2411" spans="1:2" x14ac:dyDescent="0.2">
      <c r="A2411" t="s">
        <v>8221</v>
      </c>
      <c r="B2411">
        <v>2</v>
      </c>
    </row>
    <row r="2412" spans="1:2" x14ac:dyDescent="0.2">
      <c r="A2412" t="s">
        <v>8221</v>
      </c>
      <c r="B2412">
        <v>2</v>
      </c>
    </row>
    <row r="2413" spans="1:2" x14ac:dyDescent="0.2">
      <c r="A2413" t="s">
        <v>8221</v>
      </c>
      <c r="B2413">
        <v>2</v>
      </c>
    </row>
    <row r="2414" spans="1:2" x14ac:dyDescent="0.2">
      <c r="A2414" t="s">
        <v>8221</v>
      </c>
      <c r="B2414">
        <v>2</v>
      </c>
    </row>
    <row r="2415" spans="1:2" x14ac:dyDescent="0.2">
      <c r="A2415" t="s">
        <v>8221</v>
      </c>
      <c r="B2415">
        <v>2</v>
      </c>
    </row>
    <row r="2416" spans="1:2" x14ac:dyDescent="0.2">
      <c r="A2416" t="s">
        <v>8221</v>
      </c>
      <c r="B2416">
        <v>2</v>
      </c>
    </row>
    <row r="2417" spans="1:2" x14ac:dyDescent="0.2">
      <c r="A2417" t="s">
        <v>8221</v>
      </c>
      <c r="B2417">
        <v>2</v>
      </c>
    </row>
    <row r="2418" spans="1:2" x14ac:dyDescent="0.2">
      <c r="A2418" t="s">
        <v>8221</v>
      </c>
      <c r="B2418">
        <v>2</v>
      </c>
    </row>
    <row r="2419" spans="1:2" x14ac:dyDescent="0.2">
      <c r="A2419" t="s">
        <v>8221</v>
      </c>
      <c r="B2419">
        <v>2</v>
      </c>
    </row>
    <row r="2420" spans="1:2" x14ac:dyDescent="0.2">
      <c r="A2420" t="s">
        <v>8221</v>
      </c>
      <c r="B2420">
        <v>2</v>
      </c>
    </row>
    <row r="2421" spans="1:2" x14ac:dyDescent="0.2">
      <c r="A2421" t="s">
        <v>8221</v>
      </c>
      <c r="B2421">
        <v>2</v>
      </c>
    </row>
    <row r="2422" spans="1:2" x14ac:dyDescent="0.2">
      <c r="A2422" t="s">
        <v>8221</v>
      </c>
      <c r="B2422">
        <v>2</v>
      </c>
    </row>
    <row r="2423" spans="1:2" x14ac:dyDescent="0.2">
      <c r="A2423" t="s">
        <v>8221</v>
      </c>
      <c r="B2423">
        <v>2</v>
      </c>
    </row>
    <row r="2424" spans="1:2" x14ac:dyDescent="0.2">
      <c r="A2424" t="s">
        <v>8221</v>
      </c>
      <c r="B2424">
        <v>2</v>
      </c>
    </row>
    <row r="2425" spans="1:2" x14ac:dyDescent="0.2">
      <c r="A2425" t="s">
        <v>8221</v>
      </c>
      <c r="B2425">
        <v>2</v>
      </c>
    </row>
    <row r="2426" spans="1:2" x14ac:dyDescent="0.2">
      <c r="A2426" t="s">
        <v>8221</v>
      </c>
      <c r="B2426">
        <v>2</v>
      </c>
    </row>
    <row r="2427" spans="1:2" x14ac:dyDescent="0.2">
      <c r="A2427" t="s">
        <v>8221</v>
      </c>
      <c r="B2427">
        <v>2</v>
      </c>
    </row>
    <row r="2428" spans="1:2" x14ac:dyDescent="0.2">
      <c r="A2428" t="s">
        <v>8221</v>
      </c>
      <c r="B2428">
        <v>2</v>
      </c>
    </row>
    <row r="2429" spans="1:2" x14ac:dyDescent="0.2">
      <c r="A2429" t="s">
        <v>8221</v>
      </c>
      <c r="B2429">
        <v>2</v>
      </c>
    </row>
    <row r="2430" spans="1:2" x14ac:dyDescent="0.2">
      <c r="A2430" t="s">
        <v>8221</v>
      </c>
      <c r="B2430">
        <v>2</v>
      </c>
    </row>
    <row r="2431" spans="1:2" x14ac:dyDescent="0.2">
      <c r="A2431" t="s">
        <v>8221</v>
      </c>
      <c r="B2431">
        <v>2</v>
      </c>
    </row>
    <row r="2432" spans="1:2" x14ac:dyDescent="0.2">
      <c r="A2432" t="s">
        <v>8221</v>
      </c>
      <c r="B2432">
        <v>2</v>
      </c>
    </row>
    <row r="2433" spans="1:2" x14ac:dyDescent="0.2">
      <c r="A2433" t="s">
        <v>8221</v>
      </c>
      <c r="B2433">
        <v>2</v>
      </c>
    </row>
    <row r="2434" spans="1:2" x14ac:dyDescent="0.2">
      <c r="A2434" t="s">
        <v>8221</v>
      </c>
      <c r="B2434">
        <v>2</v>
      </c>
    </row>
    <row r="2435" spans="1:2" x14ac:dyDescent="0.2">
      <c r="A2435" t="s">
        <v>8221</v>
      </c>
      <c r="B2435">
        <v>2</v>
      </c>
    </row>
    <row r="2436" spans="1:2" x14ac:dyDescent="0.2">
      <c r="A2436" t="s">
        <v>8221</v>
      </c>
      <c r="B2436">
        <v>2</v>
      </c>
    </row>
    <row r="2437" spans="1:2" x14ac:dyDescent="0.2">
      <c r="A2437" t="s">
        <v>8221</v>
      </c>
      <c r="B2437">
        <v>2</v>
      </c>
    </row>
    <row r="2438" spans="1:2" x14ac:dyDescent="0.2">
      <c r="A2438" t="s">
        <v>8221</v>
      </c>
      <c r="B2438">
        <v>2</v>
      </c>
    </row>
    <row r="2439" spans="1:2" x14ac:dyDescent="0.2">
      <c r="A2439" t="s">
        <v>8221</v>
      </c>
      <c r="B2439">
        <v>2</v>
      </c>
    </row>
    <row r="2440" spans="1:2" x14ac:dyDescent="0.2">
      <c r="A2440" t="s">
        <v>8221</v>
      </c>
      <c r="B2440">
        <v>2</v>
      </c>
    </row>
    <row r="2441" spans="1:2" x14ac:dyDescent="0.2">
      <c r="A2441" t="s">
        <v>8221</v>
      </c>
      <c r="B2441">
        <v>2</v>
      </c>
    </row>
    <row r="2442" spans="1:2" x14ac:dyDescent="0.2">
      <c r="A2442" t="s">
        <v>8221</v>
      </c>
      <c r="B2442">
        <v>2</v>
      </c>
    </row>
    <row r="2443" spans="1:2" hidden="1" x14ac:dyDescent="0.2">
      <c r="A2443" t="s">
        <v>8219</v>
      </c>
      <c r="B2443">
        <v>109</v>
      </c>
    </row>
    <row r="2444" spans="1:2" hidden="1" x14ac:dyDescent="0.2">
      <c r="A2444" t="s">
        <v>8219</v>
      </c>
      <c r="B2444">
        <v>372</v>
      </c>
    </row>
    <row r="2445" spans="1:2" hidden="1" x14ac:dyDescent="0.2">
      <c r="A2445" t="s">
        <v>8219</v>
      </c>
      <c r="B2445">
        <v>311</v>
      </c>
    </row>
    <row r="2446" spans="1:2" hidden="1" x14ac:dyDescent="0.2">
      <c r="A2446" t="s">
        <v>8219</v>
      </c>
      <c r="B2446">
        <v>61</v>
      </c>
    </row>
    <row r="2447" spans="1:2" hidden="1" x14ac:dyDescent="0.2">
      <c r="A2447" t="s">
        <v>8219</v>
      </c>
      <c r="B2447">
        <v>115</v>
      </c>
    </row>
    <row r="2448" spans="1:2" hidden="1" x14ac:dyDescent="0.2">
      <c r="A2448" t="s">
        <v>8219</v>
      </c>
      <c r="B2448">
        <v>111</v>
      </c>
    </row>
    <row r="2449" spans="1:2" hidden="1" x14ac:dyDescent="0.2">
      <c r="A2449" t="s">
        <v>8219</v>
      </c>
      <c r="B2449">
        <v>337</v>
      </c>
    </row>
    <row r="2450" spans="1:2" hidden="1" x14ac:dyDescent="0.2">
      <c r="A2450" t="s">
        <v>8219</v>
      </c>
      <c r="B2450">
        <v>9</v>
      </c>
    </row>
    <row r="2451" spans="1:2" hidden="1" x14ac:dyDescent="0.2">
      <c r="A2451" t="s">
        <v>8219</v>
      </c>
      <c r="B2451">
        <v>120</v>
      </c>
    </row>
    <row r="2452" spans="1:2" hidden="1" x14ac:dyDescent="0.2">
      <c r="A2452" t="s">
        <v>8219</v>
      </c>
      <c r="B2452">
        <v>102</v>
      </c>
    </row>
    <row r="2453" spans="1:2" hidden="1" x14ac:dyDescent="0.2">
      <c r="A2453" t="s">
        <v>8219</v>
      </c>
      <c r="B2453">
        <v>186</v>
      </c>
    </row>
    <row r="2454" spans="1:2" hidden="1" x14ac:dyDescent="0.2">
      <c r="A2454" t="s">
        <v>8219</v>
      </c>
      <c r="B2454">
        <v>15</v>
      </c>
    </row>
    <row r="2455" spans="1:2" hidden="1" x14ac:dyDescent="0.2">
      <c r="A2455" t="s">
        <v>8219</v>
      </c>
      <c r="B2455">
        <v>67</v>
      </c>
    </row>
    <row r="2456" spans="1:2" hidden="1" x14ac:dyDescent="0.2">
      <c r="A2456" t="s">
        <v>8219</v>
      </c>
      <c r="B2456">
        <v>130</v>
      </c>
    </row>
    <row r="2457" spans="1:2" hidden="1" x14ac:dyDescent="0.2">
      <c r="A2457" t="s">
        <v>8219</v>
      </c>
      <c r="B2457">
        <v>16</v>
      </c>
    </row>
    <row r="2458" spans="1:2" hidden="1" x14ac:dyDescent="0.2">
      <c r="A2458" t="s">
        <v>8219</v>
      </c>
      <c r="B2458">
        <v>67</v>
      </c>
    </row>
    <row r="2459" spans="1:2" hidden="1" x14ac:dyDescent="0.2">
      <c r="A2459" t="s">
        <v>8219</v>
      </c>
      <c r="B2459">
        <v>124</v>
      </c>
    </row>
    <row r="2460" spans="1:2" hidden="1" x14ac:dyDescent="0.2">
      <c r="A2460" t="s">
        <v>8219</v>
      </c>
      <c r="B2460">
        <v>80</v>
      </c>
    </row>
    <row r="2461" spans="1:2" hidden="1" x14ac:dyDescent="0.2">
      <c r="A2461" t="s">
        <v>8219</v>
      </c>
      <c r="B2461">
        <v>282</v>
      </c>
    </row>
    <row r="2462" spans="1:2" hidden="1" x14ac:dyDescent="0.2">
      <c r="A2462" t="s">
        <v>8219</v>
      </c>
      <c r="B2462">
        <v>68</v>
      </c>
    </row>
    <row r="2463" spans="1:2" hidden="1" x14ac:dyDescent="0.2">
      <c r="A2463" t="s">
        <v>8219</v>
      </c>
      <c r="B2463">
        <v>86</v>
      </c>
    </row>
    <row r="2464" spans="1:2" hidden="1" x14ac:dyDescent="0.2">
      <c r="A2464" t="s">
        <v>8219</v>
      </c>
      <c r="B2464">
        <v>115</v>
      </c>
    </row>
    <row r="2465" spans="1:2" hidden="1" x14ac:dyDescent="0.2">
      <c r="A2465" t="s">
        <v>8219</v>
      </c>
      <c r="B2465">
        <v>75</v>
      </c>
    </row>
    <row r="2466" spans="1:2" hidden="1" x14ac:dyDescent="0.2">
      <c r="A2466" t="s">
        <v>8219</v>
      </c>
      <c r="B2466">
        <v>43</v>
      </c>
    </row>
    <row r="2467" spans="1:2" hidden="1" x14ac:dyDescent="0.2">
      <c r="A2467" t="s">
        <v>8219</v>
      </c>
      <c r="B2467">
        <v>48</v>
      </c>
    </row>
    <row r="2468" spans="1:2" hidden="1" x14ac:dyDescent="0.2">
      <c r="A2468" t="s">
        <v>8219</v>
      </c>
      <c r="B2468">
        <v>52</v>
      </c>
    </row>
    <row r="2469" spans="1:2" hidden="1" x14ac:dyDescent="0.2">
      <c r="A2469" t="s">
        <v>8219</v>
      </c>
      <c r="B2469">
        <v>43</v>
      </c>
    </row>
    <row r="2470" spans="1:2" hidden="1" x14ac:dyDescent="0.2">
      <c r="A2470" t="s">
        <v>8219</v>
      </c>
      <c r="B2470">
        <v>58</v>
      </c>
    </row>
    <row r="2471" spans="1:2" hidden="1" x14ac:dyDescent="0.2">
      <c r="A2471" t="s">
        <v>8219</v>
      </c>
      <c r="B2471">
        <v>47</v>
      </c>
    </row>
    <row r="2472" spans="1:2" hidden="1" x14ac:dyDescent="0.2">
      <c r="A2472" t="s">
        <v>8219</v>
      </c>
      <c r="B2472">
        <v>36</v>
      </c>
    </row>
    <row r="2473" spans="1:2" hidden="1" x14ac:dyDescent="0.2">
      <c r="A2473" t="s">
        <v>8219</v>
      </c>
      <c r="B2473">
        <v>17</v>
      </c>
    </row>
    <row r="2474" spans="1:2" hidden="1" x14ac:dyDescent="0.2">
      <c r="A2474" t="s">
        <v>8219</v>
      </c>
      <c r="B2474">
        <v>104</v>
      </c>
    </row>
    <row r="2475" spans="1:2" hidden="1" x14ac:dyDescent="0.2">
      <c r="A2475" t="s">
        <v>8219</v>
      </c>
      <c r="B2475">
        <v>47</v>
      </c>
    </row>
    <row r="2476" spans="1:2" hidden="1" x14ac:dyDescent="0.2">
      <c r="A2476" t="s">
        <v>8219</v>
      </c>
      <c r="B2476">
        <v>38</v>
      </c>
    </row>
    <row r="2477" spans="1:2" hidden="1" x14ac:dyDescent="0.2">
      <c r="A2477" t="s">
        <v>8219</v>
      </c>
      <c r="B2477">
        <v>81</v>
      </c>
    </row>
    <row r="2478" spans="1:2" hidden="1" x14ac:dyDescent="0.2">
      <c r="A2478" t="s">
        <v>8219</v>
      </c>
      <c r="B2478">
        <v>55</v>
      </c>
    </row>
    <row r="2479" spans="1:2" hidden="1" x14ac:dyDescent="0.2">
      <c r="A2479" t="s">
        <v>8219</v>
      </c>
      <c r="B2479">
        <v>41</v>
      </c>
    </row>
    <row r="2480" spans="1:2" hidden="1" x14ac:dyDescent="0.2">
      <c r="A2480" t="s">
        <v>8219</v>
      </c>
      <c r="B2480">
        <v>79</v>
      </c>
    </row>
    <row r="2481" spans="1:2" hidden="1" x14ac:dyDescent="0.2">
      <c r="A2481" t="s">
        <v>8219</v>
      </c>
      <c r="B2481">
        <v>16</v>
      </c>
    </row>
    <row r="2482" spans="1:2" hidden="1" x14ac:dyDescent="0.2">
      <c r="A2482" t="s">
        <v>8219</v>
      </c>
      <c r="B2482">
        <v>8</v>
      </c>
    </row>
    <row r="2483" spans="1:2" hidden="1" x14ac:dyDescent="0.2">
      <c r="A2483" t="s">
        <v>8219</v>
      </c>
      <c r="B2483">
        <v>95</v>
      </c>
    </row>
    <row r="2484" spans="1:2" hidden="1" x14ac:dyDescent="0.2">
      <c r="A2484" t="s">
        <v>8219</v>
      </c>
      <c r="B2484">
        <v>25</v>
      </c>
    </row>
    <row r="2485" spans="1:2" hidden="1" x14ac:dyDescent="0.2">
      <c r="A2485" t="s">
        <v>8219</v>
      </c>
      <c r="B2485">
        <v>19</v>
      </c>
    </row>
    <row r="2486" spans="1:2" hidden="1" x14ac:dyDescent="0.2">
      <c r="A2486" t="s">
        <v>8219</v>
      </c>
      <c r="B2486">
        <v>90</v>
      </c>
    </row>
    <row r="2487" spans="1:2" hidden="1" x14ac:dyDescent="0.2">
      <c r="A2487" t="s">
        <v>8219</v>
      </c>
      <c r="B2487">
        <v>41</v>
      </c>
    </row>
    <row r="2488" spans="1:2" hidden="1" x14ac:dyDescent="0.2">
      <c r="A2488" t="s">
        <v>8219</v>
      </c>
      <c r="B2488">
        <v>30</v>
      </c>
    </row>
    <row r="2489" spans="1:2" hidden="1" x14ac:dyDescent="0.2">
      <c r="A2489" t="s">
        <v>8219</v>
      </c>
      <c r="B2489">
        <v>38</v>
      </c>
    </row>
    <row r="2490" spans="1:2" hidden="1" x14ac:dyDescent="0.2">
      <c r="A2490" t="s">
        <v>8219</v>
      </c>
      <c r="B2490">
        <v>65</v>
      </c>
    </row>
    <row r="2491" spans="1:2" hidden="1" x14ac:dyDescent="0.2">
      <c r="A2491" t="s">
        <v>8219</v>
      </c>
      <c r="B2491">
        <v>75</v>
      </c>
    </row>
    <row r="2492" spans="1:2" hidden="1" x14ac:dyDescent="0.2">
      <c r="A2492" t="s">
        <v>8219</v>
      </c>
      <c r="B2492">
        <v>16</v>
      </c>
    </row>
    <row r="2493" spans="1:2" hidden="1" x14ac:dyDescent="0.2">
      <c r="A2493" t="s">
        <v>8219</v>
      </c>
      <c r="B2493">
        <v>10</v>
      </c>
    </row>
    <row r="2494" spans="1:2" hidden="1" x14ac:dyDescent="0.2">
      <c r="A2494" t="s">
        <v>8219</v>
      </c>
      <c r="B2494">
        <v>27</v>
      </c>
    </row>
    <row r="2495" spans="1:2" hidden="1" x14ac:dyDescent="0.2">
      <c r="A2495" t="s">
        <v>8219</v>
      </c>
      <c r="B2495">
        <v>259</v>
      </c>
    </row>
    <row r="2496" spans="1:2" hidden="1" x14ac:dyDescent="0.2">
      <c r="A2496" t="s">
        <v>8219</v>
      </c>
      <c r="B2496">
        <v>39</v>
      </c>
    </row>
    <row r="2497" spans="1:2" hidden="1" x14ac:dyDescent="0.2">
      <c r="A2497" t="s">
        <v>8219</v>
      </c>
      <c r="B2497">
        <v>42</v>
      </c>
    </row>
    <row r="2498" spans="1:2" hidden="1" x14ac:dyDescent="0.2">
      <c r="A2498" t="s">
        <v>8219</v>
      </c>
      <c r="B2498">
        <v>10</v>
      </c>
    </row>
    <row r="2499" spans="1:2" hidden="1" x14ac:dyDescent="0.2">
      <c r="A2499" t="s">
        <v>8219</v>
      </c>
      <c r="B2499">
        <v>56</v>
      </c>
    </row>
    <row r="2500" spans="1:2" hidden="1" x14ac:dyDescent="0.2">
      <c r="A2500" t="s">
        <v>8219</v>
      </c>
      <c r="B2500">
        <v>20</v>
      </c>
    </row>
    <row r="2501" spans="1:2" hidden="1" x14ac:dyDescent="0.2">
      <c r="A2501" t="s">
        <v>8219</v>
      </c>
      <c r="B2501">
        <v>170</v>
      </c>
    </row>
    <row r="2502" spans="1:2" hidden="1" x14ac:dyDescent="0.2">
      <c r="A2502" t="s">
        <v>8219</v>
      </c>
      <c r="B2502">
        <v>29</v>
      </c>
    </row>
    <row r="2503" spans="1:2" x14ac:dyDescent="0.2">
      <c r="A2503" t="s">
        <v>8221</v>
      </c>
      <c r="B2503">
        <v>2</v>
      </c>
    </row>
    <row r="2504" spans="1:2" x14ac:dyDescent="0.2">
      <c r="A2504" t="s">
        <v>8221</v>
      </c>
      <c r="B2504">
        <v>2</v>
      </c>
    </row>
    <row r="2505" spans="1:2" x14ac:dyDescent="0.2">
      <c r="A2505" t="s">
        <v>8221</v>
      </c>
      <c r="B2505">
        <v>2</v>
      </c>
    </row>
    <row r="2506" spans="1:2" x14ac:dyDescent="0.2">
      <c r="A2506" t="s">
        <v>8221</v>
      </c>
      <c r="B2506">
        <v>2</v>
      </c>
    </row>
    <row r="2507" spans="1:2" x14ac:dyDescent="0.2">
      <c r="A2507" t="s">
        <v>8221</v>
      </c>
      <c r="B2507">
        <v>2</v>
      </c>
    </row>
    <row r="2508" spans="1:2" x14ac:dyDescent="0.2">
      <c r="A2508" t="s">
        <v>8221</v>
      </c>
      <c r="B2508">
        <v>2</v>
      </c>
    </row>
    <row r="2509" spans="1:2" x14ac:dyDescent="0.2">
      <c r="A2509" t="s">
        <v>8221</v>
      </c>
      <c r="B2509">
        <v>2</v>
      </c>
    </row>
    <row r="2510" spans="1:2" x14ac:dyDescent="0.2">
      <c r="A2510" t="s">
        <v>8221</v>
      </c>
      <c r="B2510">
        <v>2</v>
      </c>
    </row>
    <row r="2511" spans="1:2" x14ac:dyDescent="0.2">
      <c r="A2511" t="s">
        <v>8221</v>
      </c>
      <c r="B2511">
        <v>2</v>
      </c>
    </row>
    <row r="2512" spans="1:2" x14ac:dyDescent="0.2">
      <c r="A2512" t="s">
        <v>8221</v>
      </c>
      <c r="B2512">
        <v>2</v>
      </c>
    </row>
    <row r="2513" spans="1:2" x14ac:dyDescent="0.2">
      <c r="A2513" t="s">
        <v>8221</v>
      </c>
      <c r="B2513">
        <v>2</v>
      </c>
    </row>
    <row r="2514" spans="1:2" x14ac:dyDescent="0.2">
      <c r="A2514" t="s">
        <v>8221</v>
      </c>
      <c r="B2514">
        <v>2</v>
      </c>
    </row>
    <row r="2515" spans="1:2" x14ac:dyDescent="0.2">
      <c r="A2515" t="s">
        <v>8221</v>
      </c>
      <c r="B2515">
        <v>2</v>
      </c>
    </row>
    <row r="2516" spans="1:2" x14ac:dyDescent="0.2">
      <c r="A2516" t="s">
        <v>8221</v>
      </c>
      <c r="B2516">
        <v>2</v>
      </c>
    </row>
    <row r="2517" spans="1:2" x14ac:dyDescent="0.2">
      <c r="A2517" t="s">
        <v>8221</v>
      </c>
      <c r="B2517">
        <v>2</v>
      </c>
    </row>
    <row r="2518" spans="1:2" x14ac:dyDescent="0.2">
      <c r="A2518" t="s">
        <v>8221</v>
      </c>
      <c r="B2518">
        <v>2</v>
      </c>
    </row>
    <row r="2519" spans="1:2" x14ac:dyDescent="0.2">
      <c r="A2519" t="s">
        <v>8221</v>
      </c>
      <c r="B2519">
        <v>2</v>
      </c>
    </row>
    <row r="2520" spans="1:2" x14ac:dyDescent="0.2">
      <c r="A2520" t="s">
        <v>8221</v>
      </c>
      <c r="B2520">
        <v>2</v>
      </c>
    </row>
    <row r="2521" spans="1:2" x14ac:dyDescent="0.2">
      <c r="A2521" t="s">
        <v>8221</v>
      </c>
      <c r="B2521">
        <v>2</v>
      </c>
    </row>
    <row r="2522" spans="1:2" x14ac:dyDescent="0.2">
      <c r="A2522" t="s">
        <v>8221</v>
      </c>
      <c r="B2522">
        <v>2</v>
      </c>
    </row>
    <row r="2523" spans="1:2" hidden="1" x14ac:dyDescent="0.2">
      <c r="A2523" t="s">
        <v>8219</v>
      </c>
      <c r="B2523">
        <v>132</v>
      </c>
    </row>
    <row r="2524" spans="1:2" hidden="1" x14ac:dyDescent="0.2">
      <c r="A2524" t="s">
        <v>8219</v>
      </c>
      <c r="B2524">
        <v>27</v>
      </c>
    </row>
    <row r="2525" spans="1:2" hidden="1" x14ac:dyDescent="0.2">
      <c r="A2525" t="s">
        <v>8219</v>
      </c>
      <c r="B2525">
        <v>26</v>
      </c>
    </row>
    <row r="2526" spans="1:2" hidden="1" x14ac:dyDescent="0.2">
      <c r="A2526" t="s">
        <v>8219</v>
      </c>
      <c r="B2526">
        <v>43</v>
      </c>
    </row>
    <row r="2527" spans="1:2" hidden="1" x14ac:dyDescent="0.2">
      <c r="A2527" t="s">
        <v>8219</v>
      </c>
      <c r="B2527">
        <v>80</v>
      </c>
    </row>
    <row r="2528" spans="1:2" hidden="1" x14ac:dyDescent="0.2">
      <c r="A2528" t="s">
        <v>8219</v>
      </c>
      <c r="B2528">
        <v>33</v>
      </c>
    </row>
    <row r="2529" spans="1:2" hidden="1" x14ac:dyDescent="0.2">
      <c r="A2529" t="s">
        <v>8219</v>
      </c>
      <c r="B2529">
        <v>71</v>
      </c>
    </row>
    <row r="2530" spans="1:2" hidden="1" x14ac:dyDescent="0.2">
      <c r="A2530" t="s">
        <v>8219</v>
      </c>
      <c r="B2530">
        <v>81</v>
      </c>
    </row>
    <row r="2531" spans="1:2" hidden="1" x14ac:dyDescent="0.2">
      <c r="A2531" t="s">
        <v>8219</v>
      </c>
      <c r="B2531">
        <v>76</v>
      </c>
    </row>
    <row r="2532" spans="1:2" hidden="1" x14ac:dyDescent="0.2">
      <c r="A2532" t="s">
        <v>8219</v>
      </c>
      <c r="B2532">
        <v>48</v>
      </c>
    </row>
    <row r="2533" spans="1:2" hidden="1" x14ac:dyDescent="0.2">
      <c r="A2533" t="s">
        <v>8219</v>
      </c>
      <c r="B2533">
        <v>61</v>
      </c>
    </row>
    <row r="2534" spans="1:2" hidden="1" x14ac:dyDescent="0.2">
      <c r="A2534" t="s">
        <v>8219</v>
      </c>
      <c r="B2534">
        <v>60</v>
      </c>
    </row>
    <row r="2535" spans="1:2" hidden="1" x14ac:dyDescent="0.2">
      <c r="A2535" t="s">
        <v>8219</v>
      </c>
      <c r="B2535">
        <v>136</v>
      </c>
    </row>
    <row r="2536" spans="1:2" hidden="1" x14ac:dyDescent="0.2">
      <c r="A2536" t="s">
        <v>8219</v>
      </c>
      <c r="B2536">
        <v>14</v>
      </c>
    </row>
    <row r="2537" spans="1:2" hidden="1" x14ac:dyDescent="0.2">
      <c r="A2537" t="s">
        <v>8219</v>
      </c>
      <c r="B2537">
        <v>78</v>
      </c>
    </row>
    <row r="2538" spans="1:2" hidden="1" x14ac:dyDescent="0.2">
      <c r="A2538" t="s">
        <v>8219</v>
      </c>
      <c r="B2538">
        <v>4</v>
      </c>
    </row>
    <row r="2539" spans="1:2" hidden="1" x14ac:dyDescent="0.2">
      <c r="A2539" t="s">
        <v>8219</v>
      </c>
      <c r="B2539">
        <v>11</v>
      </c>
    </row>
    <row r="2540" spans="1:2" hidden="1" x14ac:dyDescent="0.2">
      <c r="A2540" t="s">
        <v>8219</v>
      </c>
      <c r="B2540">
        <v>185</v>
      </c>
    </row>
    <row r="2541" spans="1:2" hidden="1" x14ac:dyDescent="0.2">
      <c r="A2541" t="s">
        <v>8219</v>
      </c>
      <c r="B2541">
        <v>59</v>
      </c>
    </row>
    <row r="2542" spans="1:2" hidden="1" x14ac:dyDescent="0.2">
      <c r="A2542" t="s">
        <v>8219</v>
      </c>
      <c r="B2542">
        <v>27</v>
      </c>
    </row>
    <row r="2543" spans="1:2" hidden="1" x14ac:dyDescent="0.2">
      <c r="A2543" t="s">
        <v>8219</v>
      </c>
      <c r="B2543">
        <v>63</v>
      </c>
    </row>
    <row r="2544" spans="1:2" hidden="1" x14ac:dyDescent="0.2">
      <c r="A2544" t="s">
        <v>8219</v>
      </c>
      <c r="B2544">
        <v>13</v>
      </c>
    </row>
    <row r="2545" spans="1:2" hidden="1" x14ac:dyDescent="0.2">
      <c r="A2545" t="s">
        <v>8219</v>
      </c>
      <c r="B2545">
        <v>13</v>
      </c>
    </row>
    <row r="2546" spans="1:2" hidden="1" x14ac:dyDescent="0.2">
      <c r="A2546" t="s">
        <v>8219</v>
      </c>
      <c r="B2546">
        <v>57</v>
      </c>
    </row>
    <row r="2547" spans="1:2" hidden="1" x14ac:dyDescent="0.2">
      <c r="A2547" t="s">
        <v>8219</v>
      </c>
      <c r="B2547">
        <v>61</v>
      </c>
    </row>
    <row r="2548" spans="1:2" hidden="1" x14ac:dyDescent="0.2">
      <c r="A2548" t="s">
        <v>8219</v>
      </c>
      <c r="B2548">
        <v>65</v>
      </c>
    </row>
    <row r="2549" spans="1:2" hidden="1" x14ac:dyDescent="0.2">
      <c r="A2549" t="s">
        <v>8219</v>
      </c>
      <c r="B2549">
        <v>134</v>
      </c>
    </row>
    <row r="2550" spans="1:2" hidden="1" x14ac:dyDescent="0.2">
      <c r="A2550" t="s">
        <v>8219</v>
      </c>
      <c r="B2550">
        <v>37</v>
      </c>
    </row>
    <row r="2551" spans="1:2" hidden="1" x14ac:dyDescent="0.2">
      <c r="A2551" t="s">
        <v>8219</v>
      </c>
      <c r="B2551">
        <v>37</v>
      </c>
    </row>
    <row r="2552" spans="1:2" hidden="1" x14ac:dyDescent="0.2">
      <c r="A2552" t="s">
        <v>8219</v>
      </c>
      <c r="B2552">
        <v>150</v>
      </c>
    </row>
    <row r="2553" spans="1:2" hidden="1" x14ac:dyDescent="0.2">
      <c r="A2553" t="s">
        <v>8219</v>
      </c>
      <c r="B2553">
        <v>56</v>
      </c>
    </row>
    <row r="2554" spans="1:2" hidden="1" x14ac:dyDescent="0.2">
      <c r="A2554" t="s">
        <v>8219</v>
      </c>
      <c r="B2554">
        <v>18</v>
      </c>
    </row>
    <row r="2555" spans="1:2" hidden="1" x14ac:dyDescent="0.2">
      <c r="A2555" t="s">
        <v>8219</v>
      </c>
      <c r="B2555">
        <v>60</v>
      </c>
    </row>
    <row r="2556" spans="1:2" hidden="1" x14ac:dyDescent="0.2">
      <c r="A2556" t="s">
        <v>8219</v>
      </c>
      <c r="B2556">
        <v>67</v>
      </c>
    </row>
    <row r="2557" spans="1:2" hidden="1" x14ac:dyDescent="0.2">
      <c r="A2557" t="s">
        <v>8219</v>
      </c>
      <c r="B2557">
        <v>35</v>
      </c>
    </row>
    <row r="2558" spans="1:2" hidden="1" x14ac:dyDescent="0.2">
      <c r="A2558" t="s">
        <v>8219</v>
      </c>
      <c r="B2558">
        <v>34</v>
      </c>
    </row>
    <row r="2559" spans="1:2" hidden="1" x14ac:dyDescent="0.2">
      <c r="A2559" t="s">
        <v>8219</v>
      </c>
      <c r="B2559">
        <v>36</v>
      </c>
    </row>
    <row r="2560" spans="1:2" hidden="1" x14ac:dyDescent="0.2">
      <c r="A2560" t="s">
        <v>8219</v>
      </c>
      <c r="B2560">
        <v>18</v>
      </c>
    </row>
    <row r="2561" spans="1:2" hidden="1" x14ac:dyDescent="0.2">
      <c r="A2561" t="s">
        <v>8219</v>
      </c>
      <c r="B2561">
        <v>25</v>
      </c>
    </row>
    <row r="2562" spans="1:2" hidden="1" x14ac:dyDescent="0.2">
      <c r="A2562" t="s">
        <v>8219</v>
      </c>
      <c r="B2562">
        <v>21</v>
      </c>
    </row>
    <row r="2563" spans="1:2" hidden="1" x14ac:dyDescent="0.2">
      <c r="A2563" t="s">
        <v>8220</v>
      </c>
      <c r="B2563">
        <v>0</v>
      </c>
    </row>
    <row r="2564" spans="1:2" hidden="1" x14ac:dyDescent="0.2">
      <c r="A2564" t="s">
        <v>8220</v>
      </c>
      <c r="B2564">
        <v>3</v>
      </c>
    </row>
    <row r="2565" spans="1:2" hidden="1" x14ac:dyDescent="0.2">
      <c r="A2565" t="s">
        <v>8220</v>
      </c>
      <c r="B2565">
        <v>0</v>
      </c>
    </row>
    <row r="2566" spans="1:2" hidden="1" x14ac:dyDescent="0.2">
      <c r="A2566" t="s">
        <v>8220</v>
      </c>
      <c r="B2566">
        <v>0</v>
      </c>
    </row>
    <row r="2567" spans="1:2" hidden="1" x14ac:dyDescent="0.2">
      <c r="A2567" t="s">
        <v>8220</v>
      </c>
      <c r="B2567">
        <v>1</v>
      </c>
    </row>
    <row r="2568" spans="1:2" hidden="1" x14ac:dyDescent="0.2">
      <c r="A2568" t="s">
        <v>8220</v>
      </c>
      <c r="B2568">
        <v>0</v>
      </c>
    </row>
    <row r="2569" spans="1:2" hidden="1" x14ac:dyDescent="0.2">
      <c r="A2569" t="s">
        <v>8220</v>
      </c>
      <c r="B2569">
        <v>2</v>
      </c>
    </row>
    <row r="2570" spans="1:2" hidden="1" x14ac:dyDescent="0.2">
      <c r="A2570" t="s">
        <v>8220</v>
      </c>
      <c r="B2570">
        <v>1</v>
      </c>
    </row>
    <row r="2571" spans="1:2" hidden="1" x14ac:dyDescent="0.2">
      <c r="A2571" t="s">
        <v>8220</v>
      </c>
      <c r="B2571">
        <v>2</v>
      </c>
    </row>
    <row r="2572" spans="1:2" hidden="1" x14ac:dyDescent="0.2">
      <c r="A2572" t="s">
        <v>8220</v>
      </c>
      <c r="B2572">
        <v>2</v>
      </c>
    </row>
    <row r="2573" spans="1:2" hidden="1" x14ac:dyDescent="0.2">
      <c r="A2573" t="s">
        <v>8220</v>
      </c>
      <c r="B2573">
        <v>4</v>
      </c>
    </row>
    <row r="2574" spans="1:2" hidden="1" x14ac:dyDescent="0.2">
      <c r="A2574" t="s">
        <v>8220</v>
      </c>
      <c r="B2574">
        <v>0</v>
      </c>
    </row>
    <row r="2575" spans="1:2" hidden="1" x14ac:dyDescent="0.2">
      <c r="A2575" t="s">
        <v>8220</v>
      </c>
      <c r="B2575">
        <v>0</v>
      </c>
    </row>
    <row r="2576" spans="1:2" hidden="1" x14ac:dyDescent="0.2">
      <c r="A2576" t="s">
        <v>8220</v>
      </c>
      <c r="B2576">
        <v>0</v>
      </c>
    </row>
    <row r="2577" spans="1:2" hidden="1" x14ac:dyDescent="0.2">
      <c r="A2577" t="s">
        <v>8220</v>
      </c>
      <c r="B2577">
        <v>0</v>
      </c>
    </row>
    <row r="2578" spans="1:2" hidden="1" x14ac:dyDescent="0.2">
      <c r="A2578" t="s">
        <v>8220</v>
      </c>
      <c r="B2578">
        <v>0</v>
      </c>
    </row>
    <row r="2579" spans="1:2" hidden="1" x14ac:dyDescent="0.2">
      <c r="A2579" t="s">
        <v>8220</v>
      </c>
      <c r="B2579">
        <v>0</v>
      </c>
    </row>
    <row r="2580" spans="1:2" hidden="1" x14ac:dyDescent="0.2">
      <c r="A2580" t="s">
        <v>8220</v>
      </c>
      <c r="B2580">
        <v>0</v>
      </c>
    </row>
    <row r="2581" spans="1:2" hidden="1" x14ac:dyDescent="0.2">
      <c r="A2581" t="s">
        <v>8220</v>
      </c>
      <c r="B2581">
        <v>12</v>
      </c>
    </row>
    <row r="2582" spans="1:2" hidden="1" x14ac:dyDescent="0.2">
      <c r="A2582" t="s">
        <v>8220</v>
      </c>
      <c r="B2582">
        <v>2</v>
      </c>
    </row>
    <row r="2583" spans="1:2" x14ac:dyDescent="0.2">
      <c r="A2583" t="s">
        <v>8221</v>
      </c>
      <c r="B2583">
        <v>2</v>
      </c>
    </row>
    <row r="2584" spans="1:2" x14ac:dyDescent="0.2">
      <c r="A2584" t="s">
        <v>8221</v>
      </c>
      <c r="B2584">
        <v>2</v>
      </c>
    </row>
    <row r="2585" spans="1:2" x14ac:dyDescent="0.2">
      <c r="A2585" t="s">
        <v>8221</v>
      </c>
      <c r="B2585">
        <v>2</v>
      </c>
    </row>
    <row r="2586" spans="1:2" x14ac:dyDescent="0.2">
      <c r="A2586" t="s">
        <v>8221</v>
      </c>
      <c r="B2586">
        <v>2</v>
      </c>
    </row>
    <row r="2587" spans="1:2" x14ac:dyDescent="0.2">
      <c r="A2587" t="s">
        <v>8221</v>
      </c>
      <c r="B2587">
        <v>2</v>
      </c>
    </row>
    <row r="2588" spans="1:2" x14ac:dyDescent="0.2">
      <c r="A2588" t="s">
        <v>8221</v>
      </c>
      <c r="B2588">
        <v>2</v>
      </c>
    </row>
    <row r="2589" spans="1:2" x14ac:dyDescent="0.2">
      <c r="A2589" t="s">
        <v>8221</v>
      </c>
      <c r="B2589">
        <v>2</v>
      </c>
    </row>
    <row r="2590" spans="1:2" x14ac:dyDescent="0.2">
      <c r="A2590" t="s">
        <v>8221</v>
      </c>
      <c r="B2590">
        <v>2</v>
      </c>
    </row>
    <row r="2591" spans="1:2" x14ac:dyDescent="0.2">
      <c r="A2591" t="s">
        <v>8221</v>
      </c>
      <c r="B2591">
        <v>2</v>
      </c>
    </row>
    <row r="2592" spans="1:2" x14ac:dyDescent="0.2">
      <c r="A2592" t="s">
        <v>8221</v>
      </c>
      <c r="B2592">
        <v>2</v>
      </c>
    </row>
    <row r="2593" spans="1:2" x14ac:dyDescent="0.2">
      <c r="A2593" t="s">
        <v>8221</v>
      </c>
      <c r="B2593">
        <v>2</v>
      </c>
    </row>
    <row r="2594" spans="1:2" x14ac:dyDescent="0.2">
      <c r="A2594" t="s">
        <v>8221</v>
      </c>
      <c r="B2594">
        <v>2</v>
      </c>
    </row>
    <row r="2595" spans="1:2" x14ac:dyDescent="0.2">
      <c r="A2595" t="s">
        <v>8221</v>
      </c>
      <c r="B2595">
        <v>2</v>
      </c>
    </row>
    <row r="2596" spans="1:2" x14ac:dyDescent="0.2">
      <c r="A2596" t="s">
        <v>8221</v>
      </c>
      <c r="B2596">
        <v>2</v>
      </c>
    </row>
    <row r="2597" spans="1:2" x14ac:dyDescent="0.2">
      <c r="A2597" t="s">
        <v>8221</v>
      </c>
      <c r="B2597">
        <v>2</v>
      </c>
    </row>
    <row r="2598" spans="1:2" x14ac:dyDescent="0.2">
      <c r="A2598" t="s">
        <v>8221</v>
      </c>
      <c r="B2598">
        <v>2</v>
      </c>
    </row>
    <row r="2599" spans="1:2" x14ac:dyDescent="0.2">
      <c r="A2599" t="s">
        <v>8221</v>
      </c>
      <c r="B2599">
        <v>2</v>
      </c>
    </row>
    <row r="2600" spans="1:2" x14ac:dyDescent="0.2">
      <c r="A2600" t="s">
        <v>8221</v>
      </c>
      <c r="B2600">
        <v>2</v>
      </c>
    </row>
    <row r="2601" spans="1:2" x14ac:dyDescent="0.2">
      <c r="A2601" t="s">
        <v>8221</v>
      </c>
      <c r="B2601">
        <v>2</v>
      </c>
    </row>
    <row r="2602" spans="1:2" x14ac:dyDescent="0.2">
      <c r="A2602" t="s">
        <v>8221</v>
      </c>
      <c r="B2602">
        <v>2</v>
      </c>
    </row>
    <row r="2603" spans="1:2" hidden="1" x14ac:dyDescent="0.2">
      <c r="A2603" t="s">
        <v>8219</v>
      </c>
      <c r="B2603">
        <v>151</v>
      </c>
    </row>
    <row r="2604" spans="1:2" hidden="1" x14ac:dyDescent="0.2">
      <c r="A2604" t="s">
        <v>8219</v>
      </c>
      <c r="B2604">
        <v>489</v>
      </c>
    </row>
    <row r="2605" spans="1:2" hidden="1" x14ac:dyDescent="0.2">
      <c r="A2605" t="s">
        <v>8219</v>
      </c>
      <c r="B2605">
        <v>50</v>
      </c>
    </row>
    <row r="2606" spans="1:2" hidden="1" x14ac:dyDescent="0.2">
      <c r="A2606" t="s">
        <v>8219</v>
      </c>
      <c r="B2606">
        <v>321</v>
      </c>
    </row>
    <row r="2607" spans="1:2" hidden="1" x14ac:dyDescent="0.2">
      <c r="A2607" t="s">
        <v>8219</v>
      </c>
      <c r="B2607">
        <v>1762</v>
      </c>
    </row>
    <row r="2608" spans="1:2" hidden="1" x14ac:dyDescent="0.2">
      <c r="A2608" t="s">
        <v>8219</v>
      </c>
      <c r="B2608">
        <v>385</v>
      </c>
    </row>
    <row r="2609" spans="1:2" hidden="1" x14ac:dyDescent="0.2">
      <c r="A2609" t="s">
        <v>8219</v>
      </c>
      <c r="B2609">
        <v>398</v>
      </c>
    </row>
    <row r="2610" spans="1:2" hidden="1" x14ac:dyDescent="0.2">
      <c r="A2610" t="s">
        <v>8219</v>
      </c>
      <c r="B2610">
        <v>304</v>
      </c>
    </row>
    <row r="2611" spans="1:2" hidden="1" x14ac:dyDescent="0.2">
      <c r="A2611" t="s">
        <v>8219</v>
      </c>
      <c r="B2611">
        <v>676</v>
      </c>
    </row>
    <row r="2612" spans="1:2" hidden="1" x14ac:dyDescent="0.2">
      <c r="A2612" t="s">
        <v>8219</v>
      </c>
      <c r="B2612">
        <v>577</v>
      </c>
    </row>
    <row r="2613" spans="1:2" hidden="1" x14ac:dyDescent="0.2">
      <c r="A2613" t="s">
        <v>8219</v>
      </c>
      <c r="B2613">
        <v>3663</v>
      </c>
    </row>
    <row r="2614" spans="1:2" hidden="1" x14ac:dyDescent="0.2">
      <c r="A2614" t="s">
        <v>8219</v>
      </c>
      <c r="B2614">
        <v>294</v>
      </c>
    </row>
    <row r="2615" spans="1:2" hidden="1" x14ac:dyDescent="0.2">
      <c r="A2615" t="s">
        <v>8219</v>
      </c>
      <c r="B2615">
        <v>28</v>
      </c>
    </row>
    <row r="2616" spans="1:2" hidden="1" x14ac:dyDescent="0.2">
      <c r="A2616" t="s">
        <v>8219</v>
      </c>
      <c r="B2616">
        <v>100</v>
      </c>
    </row>
    <row r="2617" spans="1:2" hidden="1" x14ac:dyDescent="0.2">
      <c r="A2617" t="s">
        <v>8219</v>
      </c>
      <c r="B2617">
        <v>72</v>
      </c>
    </row>
    <row r="2618" spans="1:2" hidden="1" x14ac:dyDescent="0.2">
      <c r="A2618" t="s">
        <v>8219</v>
      </c>
      <c r="B2618">
        <v>238</v>
      </c>
    </row>
    <row r="2619" spans="1:2" hidden="1" x14ac:dyDescent="0.2">
      <c r="A2619" t="s">
        <v>8219</v>
      </c>
      <c r="B2619">
        <v>159</v>
      </c>
    </row>
    <row r="2620" spans="1:2" hidden="1" x14ac:dyDescent="0.2">
      <c r="A2620" t="s">
        <v>8219</v>
      </c>
      <c r="B2620">
        <v>77</v>
      </c>
    </row>
    <row r="2621" spans="1:2" hidden="1" x14ac:dyDescent="0.2">
      <c r="A2621" t="s">
        <v>8219</v>
      </c>
      <c r="B2621">
        <v>53</v>
      </c>
    </row>
    <row r="2622" spans="1:2" hidden="1" x14ac:dyDescent="0.2">
      <c r="A2622" t="s">
        <v>8219</v>
      </c>
      <c r="B2622">
        <v>1251</v>
      </c>
    </row>
    <row r="2623" spans="1:2" hidden="1" x14ac:dyDescent="0.2">
      <c r="A2623" t="s">
        <v>8219</v>
      </c>
      <c r="B2623">
        <v>465</v>
      </c>
    </row>
    <row r="2624" spans="1:2" hidden="1" x14ac:dyDescent="0.2">
      <c r="A2624" t="s">
        <v>8219</v>
      </c>
      <c r="B2624">
        <v>74</v>
      </c>
    </row>
    <row r="2625" spans="1:2" hidden="1" x14ac:dyDescent="0.2">
      <c r="A2625" t="s">
        <v>8219</v>
      </c>
      <c r="B2625">
        <v>62</v>
      </c>
    </row>
    <row r="2626" spans="1:2" hidden="1" x14ac:dyDescent="0.2">
      <c r="A2626" t="s">
        <v>8219</v>
      </c>
      <c r="B2626">
        <v>3468</v>
      </c>
    </row>
    <row r="2627" spans="1:2" hidden="1" x14ac:dyDescent="0.2">
      <c r="A2627" t="s">
        <v>8219</v>
      </c>
      <c r="B2627">
        <v>52</v>
      </c>
    </row>
    <row r="2628" spans="1:2" hidden="1" x14ac:dyDescent="0.2">
      <c r="A2628" t="s">
        <v>8219</v>
      </c>
      <c r="B2628">
        <v>50</v>
      </c>
    </row>
    <row r="2629" spans="1:2" hidden="1" x14ac:dyDescent="0.2">
      <c r="A2629" t="s">
        <v>8219</v>
      </c>
      <c r="B2629">
        <v>45</v>
      </c>
    </row>
    <row r="2630" spans="1:2" hidden="1" x14ac:dyDescent="0.2">
      <c r="A2630" t="s">
        <v>8219</v>
      </c>
      <c r="B2630">
        <v>21</v>
      </c>
    </row>
    <row r="2631" spans="1:2" hidden="1" x14ac:dyDescent="0.2">
      <c r="A2631" t="s">
        <v>8219</v>
      </c>
      <c r="B2631">
        <v>100</v>
      </c>
    </row>
    <row r="2632" spans="1:2" hidden="1" x14ac:dyDescent="0.2">
      <c r="A2632" t="s">
        <v>8219</v>
      </c>
      <c r="B2632">
        <v>81</v>
      </c>
    </row>
    <row r="2633" spans="1:2" hidden="1" x14ac:dyDescent="0.2">
      <c r="A2633" t="s">
        <v>8219</v>
      </c>
      <c r="B2633">
        <v>286</v>
      </c>
    </row>
    <row r="2634" spans="1:2" hidden="1" x14ac:dyDescent="0.2">
      <c r="A2634" t="s">
        <v>8219</v>
      </c>
      <c r="B2634">
        <v>42</v>
      </c>
    </row>
    <row r="2635" spans="1:2" hidden="1" x14ac:dyDescent="0.2">
      <c r="A2635" t="s">
        <v>8219</v>
      </c>
      <c r="B2635">
        <v>199</v>
      </c>
    </row>
    <row r="2636" spans="1:2" hidden="1" x14ac:dyDescent="0.2">
      <c r="A2636" t="s">
        <v>8219</v>
      </c>
      <c r="B2636">
        <v>25</v>
      </c>
    </row>
    <row r="2637" spans="1:2" hidden="1" x14ac:dyDescent="0.2">
      <c r="A2637" t="s">
        <v>8219</v>
      </c>
      <c r="B2637">
        <v>84</v>
      </c>
    </row>
    <row r="2638" spans="1:2" hidden="1" x14ac:dyDescent="0.2">
      <c r="A2638" t="s">
        <v>8219</v>
      </c>
      <c r="B2638">
        <v>50</v>
      </c>
    </row>
    <row r="2639" spans="1:2" hidden="1" x14ac:dyDescent="0.2">
      <c r="A2639" t="s">
        <v>8219</v>
      </c>
      <c r="B2639">
        <v>26</v>
      </c>
    </row>
    <row r="2640" spans="1:2" hidden="1" x14ac:dyDescent="0.2">
      <c r="A2640" t="s">
        <v>8219</v>
      </c>
      <c r="B2640">
        <v>14</v>
      </c>
    </row>
    <row r="2641" spans="1:2" hidden="1" x14ac:dyDescent="0.2">
      <c r="A2641" t="s">
        <v>8219</v>
      </c>
      <c r="B2641">
        <v>49</v>
      </c>
    </row>
    <row r="2642" spans="1:2" hidden="1" x14ac:dyDescent="0.2">
      <c r="A2642" t="s">
        <v>8219</v>
      </c>
      <c r="B2642">
        <v>69</v>
      </c>
    </row>
    <row r="2643" spans="1:2" x14ac:dyDescent="0.2">
      <c r="A2643" t="s">
        <v>8221</v>
      </c>
      <c r="B2643">
        <v>2</v>
      </c>
    </row>
    <row r="2644" spans="1:2" x14ac:dyDescent="0.2">
      <c r="A2644" t="s">
        <v>8221</v>
      </c>
      <c r="B2644">
        <v>2</v>
      </c>
    </row>
    <row r="2645" spans="1:2" hidden="1" x14ac:dyDescent="0.2">
      <c r="A2645" t="s">
        <v>8220</v>
      </c>
      <c r="B2645">
        <v>1501</v>
      </c>
    </row>
    <row r="2646" spans="1:2" hidden="1" x14ac:dyDescent="0.2">
      <c r="A2646" t="s">
        <v>8220</v>
      </c>
      <c r="B2646">
        <v>52</v>
      </c>
    </row>
    <row r="2647" spans="1:2" hidden="1" x14ac:dyDescent="0.2">
      <c r="A2647" t="s">
        <v>8220</v>
      </c>
      <c r="B2647">
        <v>23</v>
      </c>
    </row>
    <row r="2648" spans="1:2" hidden="1" x14ac:dyDescent="0.2">
      <c r="A2648" t="s">
        <v>8220</v>
      </c>
      <c r="B2648">
        <v>535</v>
      </c>
    </row>
    <row r="2649" spans="1:2" hidden="1" x14ac:dyDescent="0.2">
      <c r="A2649" t="s">
        <v>8220</v>
      </c>
      <c r="B2649">
        <v>3</v>
      </c>
    </row>
    <row r="2650" spans="1:2" hidden="1" x14ac:dyDescent="0.2">
      <c r="A2650" t="s">
        <v>8220</v>
      </c>
      <c r="B2650">
        <v>6</v>
      </c>
    </row>
    <row r="2651" spans="1:2" hidden="1" x14ac:dyDescent="0.2">
      <c r="A2651" t="s">
        <v>8220</v>
      </c>
      <c r="B2651">
        <v>3</v>
      </c>
    </row>
    <row r="2652" spans="1:2" hidden="1" x14ac:dyDescent="0.2">
      <c r="A2652" t="s">
        <v>8220</v>
      </c>
      <c r="B2652">
        <v>5</v>
      </c>
    </row>
    <row r="2653" spans="1:2" hidden="1" x14ac:dyDescent="0.2">
      <c r="A2653" t="s">
        <v>8220</v>
      </c>
      <c r="B2653">
        <v>17</v>
      </c>
    </row>
    <row r="2654" spans="1:2" hidden="1" x14ac:dyDescent="0.2">
      <c r="A2654" t="s">
        <v>8220</v>
      </c>
      <c r="B2654">
        <v>11</v>
      </c>
    </row>
    <row r="2655" spans="1:2" hidden="1" x14ac:dyDescent="0.2">
      <c r="A2655" t="s">
        <v>8220</v>
      </c>
      <c r="B2655">
        <v>70</v>
      </c>
    </row>
    <row r="2656" spans="1:2" hidden="1" x14ac:dyDescent="0.2">
      <c r="A2656" t="s">
        <v>8220</v>
      </c>
      <c r="B2656">
        <v>6</v>
      </c>
    </row>
    <row r="2657" spans="1:2" hidden="1" x14ac:dyDescent="0.2">
      <c r="A2657" t="s">
        <v>8220</v>
      </c>
      <c r="B2657">
        <v>43</v>
      </c>
    </row>
    <row r="2658" spans="1:2" hidden="1" x14ac:dyDescent="0.2">
      <c r="A2658" t="s">
        <v>8220</v>
      </c>
      <c r="B2658">
        <v>152</v>
      </c>
    </row>
    <row r="2659" spans="1:2" hidden="1" x14ac:dyDescent="0.2">
      <c r="A2659" t="s">
        <v>8220</v>
      </c>
      <c r="B2659">
        <v>59</v>
      </c>
    </row>
    <row r="2660" spans="1:2" hidden="1" x14ac:dyDescent="0.2">
      <c r="A2660" t="s">
        <v>8220</v>
      </c>
      <c r="B2660">
        <v>4</v>
      </c>
    </row>
    <row r="2661" spans="1:2" hidden="1" x14ac:dyDescent="0.2">
      <c r="A2661" t="s">
        <v>8220</v>
      </c>
      <c r="B2661">
        <v>10</v>
      </c>
    </row>
    <row r="2662" spans="1:2" hidden="1" x14ac:dyDescent="0.2">
      <c r="A2662" t="s">
        <v>8220</v>
      </c>
      <c r="B2662">
        <v>5</v>
      </c>
    </row>
    <row r="2663" spans="1:2" hidden="1" x14ac:dyDescent="0.2">
      <c r="A2663" t="s">
        <v>8219</v>
      </c>
      <c r="B2663">
        <v>60</v>
      </c>
    </row>
    <row r="2664" spans="1:2" hidden="1" x14ac:dyDescent="0.2">
      <c r="A2664" t="s">
        <v>8219</v>
      </c>
      <c r="B2664">
        <v>80</v>
      </c>
    </row>
    <row r="2665" spans="1:2" hidden="1" x14ac:dyDescent="0.2">
      <c r="A2665" t="s">
        <v>8219</v>
      </c>
      <c r="B2665">
        <v>56</v>
      </c>
    </row>
    <row r="2666" spans="1:2" hidden="1" x14ac:dyDescent="0.2">
      <c r="A2666" t="s">
        <v>8219</v>
      </c>
      <c r="B2666">
        <v>104</v>
      </c>
    </row>
    <row r="2667" spans="1:2" hidden="1" x14ac:dyDescent="0.2">
      <c r="A2667" t="s">
        <v>8219</v>
      </c>
      <c r="B2667">
        <v>46</v>
      </c>
    </row>
    <row r="2668" spans="1:2" hidden="1" x14ac:dyDescent="0.2">
      <c r="A2668" t="s">
        <v>8219</v>
      </c>
      <c r="B2668">
        <v>206</v>
      </c>
    </row>
    <row r="2669" spans="1:2" hidden="1" x14ac:dyDescent="0.2">
      <c r="A2669" t="s">
        <v>8219</v>
      </c>
      <c r="B2669">
        <v>18</v>
      </c>
    </row>
    <row r="2670" spans="1:2" hidden="1" x14ac:dyDescent="0.2">
      <c r="A2670" t="s">
        <v>8219</v>
      </c>
      <c r="B2670">
        <v>28</v>
      </c>
    </row>
    <row r="2671" spans="1:2" hidden="1" x14ac:dyDescent="0.2">
      <c r="A2671" t="s">
        <v>8219</v>
      </c>
      <c r="B2671">
        <v>11</v>
      </c>
    </row>
    <row r="2672" spans="1:2" x14ac:dyDescent="0.2">
      <c r="A2672" t="s">
        <v>8221</v>
      </c>
      <c r="B2672">
        <v>2</v>
      </c>
    </row>
    <row r="2673" spans="1:2" x14ac:dyDescent="0.2">
      <c r="A2673" t="s">
        <v>8221</v>
      </c>
      <c r="B2673">
        <v>2</v>
      </c>
    </row>
    <row r="2674" spans="1:2" x14ac:dyDescent="0.2">
      <c r="A2674" t="s">
        <v>8221</v>
      </c>
      <c r="B2674">
        <v>2</v>
      </c>
    </row>
    <row r="2675" spans="1:2" x14ac:dyDescent="0.2">
      <c r="A2675" t="s">
        <v>8221</v>
      </c>
      <c r="B2675">
        <v>2</v>
      </c>
    </row>
    <row r="2676" spans="1:2" x14ac:dyDescent="0.2">
      <c r="A2676" t="s">
        <v>8221</v>
      </c>
      <c r="B2676">
        <v>2</v>
      </c>
    </row>
    <row r="2677" spans="1:2" x14ac:dyDescent="0.2">
      <c r="A2677" t="s">
        <v>8221</v>
      </c>
      <c r="B2677">
        <v>2</v>
      </c>
    </row>
    <row r="2678" spans="1:2" x14ac:dyDescent="0.2">
      <c r="A2678" t="s">
        <v>8221</v>
      </c>
      <c r="B2678">
        <v>2</v>
      </c>
    </row>
    <row r="2679" spans="1:2" x14ac:dyDescent="0.2">
      <c r="A2679" t="s">
        <v>8221</v>
      </c>
      <c r="B2679">
        <v>2</v>
      </c>
    </row>
    <row r="2680" spans="1:2" x14ac:dyDescent="0.2">
      <c r="A2680" t="s">
        <v>8221</v>
      </c>
      <c r="B2680">
        <v>2</v>
      </c>
    </row>
    <row r="2681" spans="1:2" x14ac:dyDescent="0.2">
      <c r="A2681" t="s">
        <v>8221</v>
      </c>
      <c r="B2681">
        <v>2</v>
      </c>
    </row>
    <row r="2682" spans="1:2" x14ac:dyDescent="0.2">
      <c r="A2682" t="s">
        <v>8221</v>
      </c>
      <c r="B2682">
        <v>2</v>
      </c>
    </row>
    <row r="2683" spans="1:2" x14ac:dyDescent="0.2">
      <c r="A2683" t="s">
        <v>8221</v>
      </c>
      <c r="B2683">
        <v>2</v>
      </c>
    </row>
    <row r="2684" spans="1:2" x14ac:dyDescent="0.2">
      <c r="A2684" t="s">
        <v>8221</v>
      </c>
      <c r="B2684">
        <v>2</v>
      </c>
    </row>
    <row r="2685" spans="1:2" x14ac:dyDescent="0.2">
      <c r="A2685" t="s">
        <v>8221</v>
      </c>
      <c r="B2685">
        <v>2</v>
      </c>
    </row>
    <row r="2686" spans="1:2" x14ac:dyDescent="0.2">
      <c r="A2686" t="s">
        <v>8221</v>
      </c>
      <c r="B2686">
        <v>2</v>
      </c>
    </row>
    <row r="2687" spans="1:2" x14ac:dyDescent="0.2">
      <c r="A2687" t="s">
        <v>8221</v>
      </c>
      <c r="B2687">
        <v>2</v>
      </c>
    </row>
    <row r="2688" spans="1:2" x14ac:dyDescent="0.2">
      <c r="A2688" t="s">
        <v>8221</v>
      </c>
      <c r="B2688">
        <v>2</v>
      </c>
    </row>
    <row r="2689" spans="1:2" x14ac:dyDescent="0.2">
      <c r="A2689" t="s">
        <v>8221</v>
      </c>
      <c r="B2689">
        <v>2</v>
      </c>
    </row>
    <row r="2690" spans="1:2" x14ac:dyDescent="0.2">
      <c r="A2690" t="s">
        <v>8221</v>
      </c>
      <c r="B2690">
        <v>2</v>
      </c>
    </row>
    <row r="2691" spans="1:2" x14ac:dyDescent="0.2">
      <c r="A2691" t="s">
        <v>8221</v>
      </c>
      <c r="B2691">
        <v>2</v>
      </c>
    </row>
    <row r="2692" spans="1:2" x14ac:dyDescent="0.2">
      <c r="A2692" t="s">
        <v>8221</v>
      </c>
      <c r="B2692">
        <v>2</v>
      </c>
    </row>
    <row r="2693" spans="1:2" x14ac:dyDescent="0.2">
      <c r="A2693" t="s">
        <v>8221</v>
      </c>
      <c r="B2693">
        <v>2</v>
      </c>
    </row>
    <row r="2694" spans="1:2" x14ac:dyDescent="0.2">
      <c r="A2694" t="s">
        <v>8221</v>
      </c>
      <c r="B2694">
        <v>2</v>
      </c>
    </row>
    <row r="2695" spans="1:2" x14ac:dyDescent="0.2">
      <c r="A2695" t="s">
        <v>8221</v>
      </c>
      <c r="B2695">
        <v>2</v>
      </c>
    </row>
    <row r="2696" spans="1:2" x14ac:dyDescent="0.2">
      <c r="A2696" t="s">
        <v>8221</v>
      </c>
      <c r="B2696">
        <v>2</v>
      </c>
    </row>
    <row r="2697" spans="1:2" x14ac:dyDescent="0.2">
      <c r="A2697" t="s">
        <v>8221</v>
      </c>
      <c r="B2697">
        <v>2</v>
      </c>
    </row>
    <row r="2698" spans="1:2" x14ac:dyDescent="0.2">
      <c r="A2698" t="s">
        <v>8221</v>
      </c>
      <c r="B2698">
        <v>2</v>
      </c>
    </row>
    <row r="2699" spans="1:2" x14ac:dyDescent="0.2">
      <c r="A2699" t="s">
        <v>8221</v>
      </c>
      <c r="B2699">
        <v>2</v>
      </c>
    </row>
    <row r="2700" spans="1:2" x14ac:dyDescent="0.2">
      <c r="A2700" t="s">
        <v>8221</v>
      </c>
      <c r="B2700">
        <v>2</v>
      </c>
    </row>
    <row r="2701" spans="1:2" x14ac:dyDescent="0.2">
      <c r="A2701" t="s">
        <v>8221</v>
      </c>
      <c r="B2701">
        <v>2</v>
      </c>
    </row>
    <row r="2702" spans="1:2" x14ac:dyDescent="0.2">
      <c r="A2702" t="s">
        <v>8221</v>
      </c>
      <c r="B2702">
        <v>2</v>
      </c>
    </row>
    <row r="2703" spans="1:2" hidden="1" x14ac:dyDescent="0.2">
      <c r="A2703" t="s">
        <v>8222</v>
      </c>
      <c r="B2703">
        <v>46</v>
      </c>
    </row>
    <row r="2704" spans="1:2" hidden="1" x14ac:dyDescent="0.2">
      <c r="A2704" t="s">
        <v>8222</v>
      </c>
      <c r="B2704">
        <v>26</v>
      </c>
    </row>
    <row r="2705" spans="1:2" hidden="1" x14ac:dyDescent="0.2">
      <c r="A2705" t="s">
        <v>8222</v>
      </c>
      <c r="B2705">
        <v>45</v>
      </c>
    </row>
    <row r="2706" spans="1:2" hidden="1" x14ac:dyDescent="0.2">
      <c r="A2706" t="s">
        <v>8222</v>
      </c>
      <c r="B2706">
        <v>7</v>
      </c>
    </row>
    <row r="2707" spans="1:2" hidden="1" x14ac:dyDescent="0.2">
      <c r="A2707" t="s">
        <v>8222</v>
      </c>
      <c r="B2707">
        <v>8</v>
      </c>
    </row>
    <row r="2708" spans="1:2" hidden="1" x14ac:dyDescent="0.2">
      <c r="A2708" t="s">
        <v>8219</v>
      </c>
      <c r="B2708">
        <v>263</v>
      </c>
    </row>
    <row r="2709" spans="1:2" hidden="1" x14ac:dyDescent="0.2">
      <c r="A2709" t="s">
        <v>8219</v>
      </c>
      <c r="B2709">
        <v>394</v>
      </c>
    </row>
    <row r="2710" spans="1:2" hidden="1" x14ac:dyDescent="0.2">
      <c r="A2710" t="s">
        <v>8219</v>
      </c>
      <c r="B2710">
        <v>1049</v>
      </c>
    </row>
    <row r="2711" spans="1:2" hidden="1" x14ac:dyDescent="0.2">
      <c r="A2711" t="s">
        <v>8219</v>
      </c>
      <c r="B2711">
        <v>308</v>
      </c>
    </row>
    <row r="2712" spans="1:2" hidden="1" x14ac:dyDescent="0.2">
      <c r="A2712" t="s">
        <v>8219</v>
      </c>
      <c r="B2712">
        <v>1088</v>
      </c>
    </row>
    <row r="2713" spans="1:2" hidden="1" x14ac:dyDescent="0.2">
      <c r="A2713" t="s">
        <v>8219</v>
      </c>
      <c r="B2713">
        <v>73</v>
      </c>
    </row>
    <row r="2714" spans="1:2" hidden="1" x14ac:dyDescent="0.2">
      <c r="A2714" t="s">
        <v>8219</v>
      </c>
      <c r="B2714">
        <v>143</v>
      </c>
    </row>
    <row r="2715" spans="1:2" hidden="1" x14ac:dyDescent="0.2">
      <c r="A2715" t="s">
        <v>8219</v>
      </c>
      <c r="B2715">
        <v>1420</v>
      </c>
    </row>
    <row r="2716" spans="1:2" hidden="1" x14ac:dyDescent="0.2">
      <c r="A2716" t="s">
        <v>8219</v>
      </c>
      <c r="B2716">
        <v>305</v>
      </c>
    </row>
    <row r="2717" spans="1:2" hidden="1" x14ac:dyDescent="0.2">
      <c r="A2717" t="s">
        <v>8219</v>
      </c>
      <c r="B2717">
        <v>551</v>
      </c>
    </row>
    <row r="2718" spans="1:2" hidden="1" x14ac:dyDescent="0.2">
      <c r="A2718" t="s">
        <v>8219</v>
      </c>
      <c r="B2718">
        <v>187</v>
      </c>
    </row>
    <row r="2719" spans="1:2" hidden="1" x14ac:dyDescent="0.2">
      <c r="A2719" t="s">
        <v>8219</v>
      </c>
      <c r="B2719">
        <v>325</v>
      </c>
    </row>
    <row r="2720" spans="1:2" hidden="1" x14ac:dyDescent="0.2">
      <c r="A2720" t="s">
        <v>8219</v>
      </c>
      <c r="B2720">
        <v>148</v>
      </c>
    </row>
    <row r="2721" spans="1:2" hidden="1" x14ac:dyDescent="0.2">
      <c r="A2721" t="s">
        <v>8219</v>
      </c>
      <c r="B2721">
        <v>69</v>
      </c>
    </row>
    <row r="2722" spans="1:2" hidden="1" x14ac:dyDescent="0.2">
      <c r="A2722" t="s">
        <v>8219</v>
      </c>
      <c r="B2722">
        <v>173</v>
      </c>
    </row>
    <row r="2723" spans="1:2" hidden="1" x14ac:dyDescent="0.2">
      <c r="A2723" t="s">
        <v>8219</v>
      </c>
      <c r="B2723">
        <v>269</v>
      </c>
    </row>
    <row r="2724" spans="1:2" hidden="1" x14ac:dyDescent="0.2">
      <c r="A2724" t="s">
        <v>8219</v>
      </c>
      <c r="B2724">
        <v>185</v>
      </c>
    </row>
    <row r="2725" spans="1:2" hidden="1" x14ac:dyDescent="0.2">
      <c r="A2725" t="s">
        <v>8219</v>
      </c>
      <c r="B2725">
        <v>176</v>
      </c>
    </row>
    <row r="2726" spans="1:2" hidden="1" x14ac:dyDescent="0.2">
      <c r="A2726" t="s">
        <v>8219</v>
      </c>
      <c r="B2726">
        <v>1019</v>
      </c>
    </row>
    <row r="2727" spans="1:2" hidden="1" x14ac:dyDescent="0.2">
      <c r="A2727" t="s">
        <v>8219</v>
      </c>
      <c r="B2727">
        <v>113</v>
      </c>
    </row>
    <row r="2728" spans="1:2" hidden="1" x14ac:dyDescent="0.2">
      <c r="A2728" t="s">
        <v>8219</v>
      </c>
      <c r="B2728">
        <v>404</v>
      </c>
    </row>
    <row r="2729" spans="1:2" hidden="1" x14ac:dyDescent="0.2">
      <c r="A2729" t="s">
        <v>8219</v>
      </c>
      <c r="B2729">
        <v>707</v>
      </c>
    </row>
    <row r="2730" spans="1:2" hidden="1" x14ac:dyDescent="0.2">
      <c r="A2730" t="s">
        <v>8219</v>
      </c>
      <c r="B2730">
        <v>392</v>
      </c>
    </row>
    <row r="2731" spans="1:2" hidden="1" x14ac:dyDescent="0.2">
      <c r="A2731" t="s">
        <v>8219</v>
      </c>
      <c r="B2731">
        <v>23</v>
      </c>
    </row>
    <row r="2732" spans="1:2" hidden="1" x14ac:dyDescent="0.2">
      <c r="A2732" t="s">
        <v>8219</v>
      </c>
      <c r="B2732">
        <v>682</v>
      </c>
    </row>
    <row r="2733" spans="1:2" hidden="1" x14ac:dyDescent="0.2">
      <c r="A2733" t="s">
        <v>8219</v>
      </c>
      <c r="B2733">
        <v>37</v>
      </c>
    </row>
    <row r="2734" spans="1:2" hidden="1" x14ac:dyDescent="0.2">
      <c r="A2734" t="s">
        <v>8219</v>
      </c>
      <c r="B2734">
        <v>146</v>
      </c>
    </row>
    <row r="2735" spans="1:2" hidden="1" x14ac:dyDescent="0.2">
      <c r="A2735" t="s">
        <v>8219</v>
      </c>
      <c r="B2735">
        <v>119</v>
      </c>
    </row>
    <row r="2736" spans="1:2" hidden="1" x14ac:dyDescent="0.2">
      <c r="A2736" t="s">
        <v>8219</v>
      </c>
      <c r="B2736">
        <v>163</v>
      </c>
    </row>
    <row r="2737" spans="1:2" hidden="1" x14ac:dyDescent="0.2">
      <c r="A2737" t="s">
        <v>8219</v>
      </c>
      <c r="B2737">
        <v>339</v>
      </c>
    </row>
    <row r="2738" spans="1:2" hidden="1" x14ac:dyDescent="0.2">
      <c r="A2738" t="s">
        <v>8219</v>
      </c>
      <c r="B2738">
        <v>58</v>
      </c>
    </row>
    <row r="2739" spans="1:2" hidden="1" x14ac:dyDescent="0.2">
      <c r="A2739" t="s">
        <v>8219</v>
      </c>
      <c r="B2739">
        <v>456</v>
      </c>
    </row>
    <row r="2740" spans="1:2" hidden="1" x14ac:dyDescent="0.2">
      <c r="A2740" t="s">
        <v>8219</v>
      </c>
      <c r="B2740">
        <v>15</v>
      </c>
    </row>
    <row r="2741" spans="1:2" hidden="1" x14ac:dyDescent="0.2">
      <c r="A2741" t="s">
        <v>8219</v>
      </c>
      <c r="B2741">
        <v>191</v>
      </c>
    </row>
    <row r="2742" spans="1:2" hidden="1" x14ac:dyDescent="0.2">
      <c r="A2742" t="s">
        <v>8219</v>
      </c>
      <c r="B2742">
        <v>17</v>
      </c>
    </row>
    <row r="2743" spans="1:2" x14ac:dyDescent="0.2">
      <c r="A2743" t="s">
        <v>8221</v>
      </c>
      <c r="B2743">
        <v>2</v>
      </c>
    </row>
    <row r="2744" spans="1:2" x14ac:dyDescent="0.2">
      <c r="A2744" t="s">
        <v>8221</v>
      </c>
      <c r="B2744">
        <v>2</v>
      </c>
    </row>
    <row r="2745" spans="1:2" x14ac:dyDescent="0.2">
      <c r="A2745" t="s">
        <v>8221</v>
      </c>
      <c r="B2745">
        <v>2</v>
      </c>
    </row>
    <row r="2746" spans="1:2" x14ac:dyDescent="0.2">
      <c r="A2746" t="s">
        <v>8221</v>
      </c>
      <c r="B2746">
        <v>2</v>
      </c>
    </row>
    <row r="2747" spans="1:2" x14ac:dyDescent="0.2">
      <c r="A2747" t="s">
        <v>8221</v>
      </c>
      <c r="B2747">
        <v>2</v>
      </c>
    </row>
    <row r="2748" spans="1:2" x14ac:dyDescent="0.2">
      <c r="A2748" t="s">
        <v>8221</v>
      </c>
      <c r="B2748">
        <v>2</v>
      </c>
    </row>
    <row r="2749" spans="1:2" x14ac:dyDescent="0.2">
      <c r="A2749" t="s">
        <v>8221</v>
      </c>
      <c r="B2749">
        <v>2</v>
      </c>
    </row>
    <row r="2750" spans="1:2" x14ac:dyDescent="0.2">
      <c r="A2750" t="s">
        <v>8221</v>
      </c>
      <c r="B2750">
        <v>2</v>
      </c>
    </row>
    <row r="2751" spans="1:2" x14ac:dyDescent="0.2">
      <c r="A2751" t="s">
        <v>8221</v>
      </c>
      <c r="B2751">
        <v>2</v>
      </c>
    </row>
    <row r="2752" spans="1:2" x14ac:dyDescent="0.2">
      <c r="A2752" t="s">
        <v>8221</v>
      </c>
      <c r="B2752">
        <v>2</v>
      </c>
    </row>
    <row r="2753" spans="1:2" x14ac:dyDescent="0.2">
      <c r="A2753" t="s">
        <v>8221</v>
      </c>
      <c r="B2753">
        <v>2</v>
      </c>
    </row>
    <row r="2754" spans="1:2" x14ac:dyDescent="0.2">
      <c r="A2754" t="s">
        <v>8221</v>
      </c>
      <c r="B2754">
        <v>2</v>
      </c>
    </row>
    <row r="2755" spans="1:2" x14ac:dyDescent="0.2">
      <c r="A2755" t="s">
        <v>8221</v>
      </c>
      <c r="B2755">
        <v>2</v>
      </c>
    </row>
    <row r="2756" spans="1:2" x14ac:dyDescent="0.2">
      <c r="A2756" t="s">
        <v>8221</v>
      </c>
      <c r="B2756">
        <v>2</v>
      </c>
    </row>
    <row r="2757" spans="1:2" x14ac:dyDescent="0.2">
      <c r="A2757" t="s">
        <v>8221</v>
      </c>
      <c r="B2757">
        <v>2</v>
      </c>
    </row>
    <row r="2758" spans="1:2" x14ac:dyDescent="0.2">
      <c r="A2758" t="s">
        <v>8221</v>
      </c>
      <c r="B2758">
        <v>2</v>
      </c>
    </row>
    <row r="2759" spans="1:2" x14ac:dyDescent="0.2">
      <c r="A2759" t="s">
        <v>8221</v>
      </c>
      <c r="B2759">
        <v>2</v>
      </c>
    </row>
    <row r="2760" spans="1:2" x14ac:dyDescent="0.2">
      <c r="A2760" t="s">
        <v>8221</v>
      </c>
      <c r="B2760">
        <v>2</v>
      </c>
    </row>
    <row r="2761" spans="1:2" x14ac:dyDescent="0.2">
      <c r="A2761" t="s">
        <v>8221</v>
      </c>
      <c r="B2761">
        <v>2</v>
      </c>
    </row>
    <row r="2762" spans="1:2" x14ac:dyDescent="0.2">
      <c r="A2762" t="s">
        <v>8221</v>
      </c>
      <c r="B2762">
        <v>2</v>
      </c>
    </row>
    <row r="2763" spans="1:2" x14ac:dyDescent="0.2">
      <c r="A2763" t="s">
        <v>8221</v>
      </c>
      <c r="B2763">
        <v>2</v>
      </c>
    </row>
    <row r="2764" spans="1:2" x14ac:dyDescent="0.2">
      <c r="A2764" t="s">
        <v>8221</v>
      </c>
      <c r="B2764">
        <v>2</v>
      </c>
    </row>
    <row r="2765" spans="1:2" x14ac:dyDescent="0.2">
      <c r="A2765" t="s">
        <v>8221</v>
      </c>
      <c r="B2765">
        <v>2</v>
      </c>
    </row>
    <row r="2766" spans="1:2" x14ac:dyDescent="0.2">
      <c r="A2766" t="s">
        <v>8221</v>
      </c>
      <c r="B2766">
        <v>2</v>
      </c>
    </row>
    <row r="2767" spans="1:2" x14ac:dyDescent="0.2">
      <c r="A2767" t="s">
        <v>8221</v>
      </c>
      <c r="B2767">
        <v>2</v>
      </c>
    </row>
    <row r="2768" spans="1:2" x14ac:dyDescent="0.2">
      <c r="A2768" t="s">
        <v>8221</v>
      </c>
      <c r="B2768">
        <v>2</v>
      </c>
    </row>
    <row r="2769" spans="1:2" x14ac:dyDescent="0.2">
      <c r="A2769" t="s">
        <v>8221</v>
      </c>
      <c r="B2769">
        <v>2</v>
      </c>
    </row>
    <row r="2770" spans="1:2" x14ac:dyDescent="0.2">
      <c r="A2770" t="s">
        <v>8221</v>
      </c>
      <c r="B2770">
        <v>2</v>
      </c>
    </row>
    <row r="2771" spans="1:2" x14ac:dyDescent="0.2">
      <c r="A2771" t="s">
        <v>8221</v>
      </c>
      <c r="B2771">
        <v>2</v>
      </c>
    </row>
    <row r="2772" spans="1:2" x14ac:dyDescent="0.2">
      <c r="A2772" t="s">
        <v>8221</v>
      </c>
      <c r="B2772">
        <v>2</v>
      </c>
    </row>
    <row r="2773" spans="1:2" x14ac:dyDescent="0.2">
      <c r="A2773" t="s">
        <v>8221</v>
      </c>
      <c r="B2773">
        <v>2</v>
      </c>
    </row>
    <row r="2774" spans="1:2" x14ac:dyDescent="0.2">
      <c r="A2774" t="s">
        <v>8221</v>
      </c>
      <c r="B2774">
        <v>2</v>
      </c>
    </row>
    <row r="2775" spans="1:2" x14ac:dyDescent="0.2">
      <c r="A2775" t="s">
        <v>8221</v>
      </c>
      <c r="B2775">
        <v>2</v>
      </c>
    </row>
    <row r="2776" spans="1:2" x14ac:dyDescent="0.2">
      <c r="A2776" t="s">
        <v>8221</v>
      </c>
      <c r="B2776">
        <v>2</v>
      </c>
    </row>
    <row r="2777" spans="1:2" x14ac:dyDescent="0.2">
      <c r="A2777" t="s">
        <v>8221</v>
      </c>
      <c r="B2777">
        <v>2</v>
      </c>
    </row>
    <row r="2778" spans="1:2" x14ac:dyDescent="0.2">
      <c r="A2778" t="s">
        <v>8221</v>
      </c>
      <c r="B2778">
        <v>2</v>
      </c>
    </row>
    <row r="2779" spans="1:2" x14ac:dyDescent="0.2">
      <c r="A2779" t="s">
        <v>8221</v>
      </c>
      <c r="B2779">
        <v>2</v>
      </c>
    </row>
    <row r="2780" spans="1:2" x14ac:dyDescent="0.2">
      <c r="A2780" t="s">
        <v>8221</v>
      </c>
      <c r="B2780">
        <v>2</v>
      </c>
    </row>
    <row r="2781" spans="1:2" x14ac:dyDescent="0.2">
      <c r="A2781" t="s">
        <v>8221</v>
      </c>
      <c r="B2781">
        <v>2</v>
      </c>
    </row>
    <row r="2782" spans="1:2" x14ac:dyDescent="0.2">
      <c r="A2782" t="s">
        <v>8221</v>
      </c>
      <c r="B2782">
        <v>2</v>
      </c>
    </row>
    <row r="2783" spans="1:2" hidden="1" x14ac:dyDescent="0.2">
      <c r="A2783" t="s">
        <v>8219</v>
      </c>
      <c r="B2783">
        <v>28</v>
      </c>
    </row>
    <row r="2784" spans="1:2" hidden="1" x14ac:dyDescent="0.2">
      <c r="A2784" t="s">
        <v>8219</v>
      </c>
      <c r="B2784">
        <v>18</v>
      </c>
    </row>
    <row r="2785" spans="1:2" hidden="1" x14ac:dyDescent="0.2">
      <c r="A2785" t="s">
        <v>8219</v>
      </c>
      <c r="B2785">
        <v>61</v>
      </c>
    </row>
    <row r="2786" spans="1:2" hidden="1" x14ac:dyDescent="0.2">
      <c r="A2786" t="s">
        <v>8219</v>
      </c>
      <c r="B2786">
        <v>108</v>
      </c>
    </row>
    <row r="2787" spans="1:2" hidden="1" x14ac:dyDescent="0.2">
      <c r="A2787" t="s">
        <v>8219</v>
      </c>
      <c r="B2787">
        <v>142</v>
      </c>
    </row>
    <row r="2788" spans="1:2" hidden="1" x14ac:dyDescent="0.2">
      <c r="A2788" t="s">
        <v>8219</v>
      </c>
      <c r="B2788">
        <v>74</v>
      </c>
    </row>
    <row r="2789" spans="1:2" hidden="1" x14ac:dyDescent="0.2">
      <c r="A2789" t="s">
        <v>8219</v>
      </c>
      <c r="B2789">
        <v>38</v>
      </c>
    </row>
    <row r="2790" spans="1:2" hidden="1" x14ac:dyDescent="0.2">
      <c r="A2790" t="s">
        <v>8219</v>
      </c>
      <c r="B2790">
        <v>20</v>
      </c>
    </row>
    <row r="2791" spans="1:2" hidden="1" x14ac:dyDescent="0.2">
      <c r="A2791" t="s">
        <v>8219</v>
      </c>
      <c r="B2791">
        <v>24</v>
      </c>
    </row>
    <row r="2792" spans="1:2" hidden="1" x14ac:dyDescent="0.2">
      <c r="A2792" t="s">
        <v>8219</v>
      </c>
      <c r="B2792">
        <v>66</v>
      </c>
    </row>
    <row r="2793" spans="1:2" hidden="1" x14ac:dyDescent="0.2">
      <c r="A2793" t="s">
        <v>8219</v>
      </c>
      <c r="B2793">
        <v>28</v>
      </c>
    </row>
    <row r="2794" spans="1:2" hidden="1" x14ac:dyDescent="0.2">
      <c r="A2794" t="s">
        <v>8219</v>
      </c>
      <c r="B2794">
        <v>24</v>
      </c>
    </row>
    <row r="2795" spans="1:2" hidden="1" x14ac:dyDescent="0.2">
      <c r="A2795" t="s">
        <v>8219</v>
      </c>
      <c r="B2795">
        <v>73</v>
      </c>
    </row>
    <row r="2796" spans="1:2" hidden="1" x14ac:dyDescent="0.2">
      <c r="A2796" t="s">
        <v>8219</v>
      </c>
      <c r="B2796">
        <v>3</v>
      </c>
    </row>
    <row r="2797" spans="1:2" hidden="1" x14ac:dyDescent="0.2">
      <c r="A2797" t="s">
        <v>8219</v>
      </c>
      <c r="B2797">
        <v>20</v>
      </c>
    </row>
    <row r="2798" spans="1:2" hidden="1" x14ac:dyDescent="0.2">
      <c r="A2798" t="s">
        <v>8219</v>
      </c>
      <c r="B2798">
        <v>21</v>
      </c>
    </row>
    <row r="2799" spans="1:2" hidden="1" x14ac:dyDescent="0.2">
      <c r="A2799" t="s">
        <v>8219</v>
      </c>
      <c r="B2799">
        <v>94</v>
      </c>
    </row>
    <row r="2800" spans="1:2" hidden="1" x14ac:dyDescent="0.2">
      <c r="A2800" t="s">
        <v>8219</v>
      </c>
      <c r="B2800">
        <v>139</v>
      </c>
    </row>
    <row r="2801" spans="1:2" hidden="1" x14ac:dyDescent="0.2">
      <c r="A2801" t="s">
        <v>8219</v>
      </c>
      <c r="B2801">
        <v>130</v>
      </c>
    </row>
    <row r="2802" spans="1:2" hidden="1" x14ac:dyDescent="0.2">
      <c r="A2802" t="s">
        <v>8219</v>
      </c>
      <c r="B2802">
        <v>31</v>
      </c>
    </row>
    <row r="2803" spans="1:2" hidden="1" x14ac:dyDescent="0.2">
      <c r="A2803" t="s">
        <v>8219</v>
      </c>
      <c r="B2803">
        <v>13</v>
      </c>
    </row>
    <row r="2804" spans="1:2" hidden="1" x14ac:dyDescent="0.2">
      <c r="A2804" t="s">
        <v>8219</v>
      </c>
      <c r="B2804">
        <v>90</v>
      </c>
    </row>
    <row r="2805" spans="1:2" hidden="1" x14ac:dyDescent="0.2">
      <c r="A2805" t="s">
        <v>8219</v>
      </c>
      <c r="B2805">
        <v>141</v>
      </c>
    </row>
    <row r="2806" spans="1:2" hidden="1" x14ac:dyDescent="0.2">
      <c r="A2806" t="s">
        <v>8219</v>
      </c>
      <c r="B2806">
        <v>23</v>
      </c>
    </row>
    <row r="2807" spans="1:2" hidden="1" x14ac:dyDescent="0.2">
      <c r="A2807" t="s">
        <v>8219</v>
      </c>
      <c r="B2807">
        <v>18</v>
      </c>
    </row>
    <row r="2808" spans="1:2" hidden="1" x14ac:dyDescent="0.2">
      <c r="A2808" t="s">
        <v>8219</v>
      </c>
      <c r="B2808">
        <v>76</v>
      </c>
    </row>
    <row r="2809" spans="1:2" hidden="1" x14ac:dyDescent="0.2">
      <c r="A2809" t="s">
        <v>8219</v>
      </c>
      <c r="B2809">
        <v>93</v>
      </c>
    </row>
    <row r="2810" spans="1:2" hidden="1" x14ac:dyDescent="0.2">
      <c r="A2810" t="s">
        <v>8219</v>
      </c>
      <c r="B2810">
        <v>69</v>
      </c>
    </row>
    <row r="2811" spans="1:2" hidden="1" x14ac:dyDescent="0.2">
      <c r="A2811" t="s">
        <v>8219</v>
      </c>
      <c r="B2811">
        <v>21</v>
      </c>
    </row>
    <row r="2812" spans="1:2" hidden="1" x14ac:dyDescent="0.2">
      <c r="A2812" t="s">
        <v>8219</v>
      </c>
      <c r="B2812">
        <v>57</v>
      </c>
    </row>
    <row r="2813" spans="1:2" hidden="1" x14ac:dyDescent="0.2">
      <c r="A2813" t="s">
        <v>8219</v>
      </c>
      <c r="B2813">
        <v>108</v>
      </c>
    </row>
    <row r="2814" spans="1:2" hidden="1" x14ac:dyDescent="0.2">
      <c r="A2814" t="s">
        <v>8219</v>
      </c>
      <c r="B2814">
        <v>83</v>
      </c>
    </row>
    <row r="2815" spans="1:2" hidden="1" x14ac:dyDescent="0.2">
      <c r="A2815" t="s">
        <v>8219</v>
      </c>
      <c r="B2815">
        <v>96</v>
      </c>
    </row>
    <row r="2816" spans="1:2" hidden="1" x14ac:dyDescent="0.2">
      <c r="A2816" t="s">
        <v>8219</v>
      </c>
      <c r="B2816">
        <v>64</v>
      </c>
    </row>
    <row r="2817" spans="1:2" hidden="1" x14ac:dyDescent="0.2">
      <c r="A2817" t="s">
        <v>8219</v>
      </c>
      <c r="B2817">
        <v>14</v>
      </c>
    </row>
    <row r="2818" spans="1:2" hidden="1" x14ac:dyDescent="0.2">
      <c r="A2818" t="s">
        <v>8219</v>
      </c>
      <c r="B2818">
        <v>169</v>
      </c>
    </row>
    <row r="2819" spans="1:2" hidden="1" x14ac:dyDescent="0.2">
      <c r="A2819" t="s">
        <v>8219</v>
      </c>
      <c r="B2819">
        <v>33</v>
      </c>
    </row>
    <row r="2820" spans="1:2" hidden="1" x14ac:dyDescent="0.2">
      <c r="A2820" t="s">
        <v>8219</v>
      </c>
      <c r="B2820">
        <v>102</v>
      </c>
    </row>
    <row r="2821" spans="1:2" hidden="1" x14ac:dyDescent="0.2">
      <c r="A2821" t="s">
        <v>8219</v>
      </c>
      <c r="B2821">
        <v>104</v>
      </c>
    </row>
    <row r="2822" spans="1:2" hidden="1" x14ac:dyDescent="0.2">
      <c r="A2822" t="s">
        <v>8219</v>
      </c>
      <c r="B2822">
        <v>20</v>
      </c>
    </row>
    <row r="2823" spans="1:2" hidden="1" x14ac:dyDescent="0.2">
      <c r="A2823" t="s">
        <v>8219</v>
      </c>
      <c r="B2823">
        <v>35</v>
      </c>
    </row>
    <row r="2824" spans="1:2" hidden="1" x14ac:dyDescent="0.2">
      <c r="A2824" t="s">
        <v>8219</v>
      </c>
      <c r="B2824">
        <v>94</v>
      </c>
    </row>
    <row r="2825" spans="1:2" hidden="1" x14ac:dyDescent="0.2">
      <c r="A2825" t="s">
        <v>8219</v>
      </c>
      <c r="B2825">
        <v>14</v>
      </c>
    </row>
    <row r="2826" spans="1:2" hidden="1" x14ac:dyDescent="0.2">
      <c r="A2826" t="s">
        <v>8219</v>
      </c>
      <c r="B2826">
        <v>15</v>
      </c>
    </row>
    <row r="2827" spans="1:2" hidden="1" x14ac:dyDescent="0.2">
      <c r="A2827" t="s">
        <v>8219</v>
      </c>
      <c r="B2827">
        <v>51</v>
      </c>
    </row>
    <row r="2828" spans="1:2" hidden="1" x14ac:dyDescent="0.2">
      <c r="A2828" t="s">
        <v>8219</v>
      </c>
      <c r="B2828">
        <v>19</v>
      </c>
    </row>
    <row r="2829" spans="1:2" hidden="1" x14ac:dyDescent="0.2">
      <c r="A2829" t="s">
        <v>8219</v>
      </c>
      <c r="B2829">
        <v>23</v>
      </c>
    </row>
    <row r="2830" spans="1:2" hidden="1" x14ac:dyDescent="0.2">
      <c r="A2830" t="s">
        <v>8219</v>
      </c>
      <c r="B2830">
        <v>97</v>
      </c>
    </row>
    <row r="2831" spans="1:2" hidden="1" x14ac:dyDescent="0.2">
      <c r="A2831" t="s">
        <v>8219</v>
      </c>
      <c r="B2831">
        <v>76</v>
      </c>
    </row>
    <row r="2832" spans="1:2" hidden="1" x14ac:dyDescent="0.2">
      <c r="A2832" t="s">
        <v>8219</v>
      </c>
      <c r="B2832">
        <v>11</v>
      </c>
    </row>
    <row r="2833" spans="1:2" hidden="1" x14ac:dyDescent="0.2">
      <c r="A2833" t="s">
        <v>8219</v>
      </c>
      <c r="B2833">
        <v>52</v>
      </c>
    </row>
    <row r="2834" spans="1:2" hidden="1" x14ac:dyDescent="0.2">
      <c r="A2834" t="s">
        <v>8219</v>
      </c>
      <c r="B2834">
        <v>95</v>
      </c>
    </row>
    <row r="2835" spans="1:2" hidden="1" x14ac:dyDescent="0.2">
      <c r="A2835" t="s">
        <v>8219</v>
      </c>
      <c r="B2835">
        <v>35</v>
      </c>
    </row>
    <row r="2836" spans="1:2" hidden="1" x14ac:dyDescent="0.2">
      <c r="A2836" t="s">
        <v>8219</v>
      </c>
      <c r="B2836">
        <v>21</v>
      </c>
    </row>
    <row r="2837" spans="1:2" hidden="1" x14ac:dyDescent="0.2">
      <c r="A2837" t="s">
        <v>8219</v>
      </c>
      <c r="B2837">
        <v>93</v>
      </c>
    </row>
    <row r="2838" spans="1:2" hidden="1" x14ac:dyDescent="0.2">
      <c r="A2838" t="s">
        <v>8219</v>
      </c>
      <c r="B2838">
        <v>11</v>
      </c>
    </row>
    <row r="2839" spans="1:2" hidden="1" x14ac:dyDescent="0.2">
      <c r="A2839" t="s">
        <v>8219</v>
      </c>
      <c r="B2839">
        <v>21</v>
      </c>
    </row>
    <row r="2840" spans="1:2" hidden="1" x14ac:dyDescent="0.2">
      <c r="A2840" t="s">
        <v>8219</v>
      </c>
      <c r="B2840">
        <v>54</v>
      </c>
    </row>
    <row r="2841" spans="1:2" hidden="1" x14ac:dyDescent="0.2">
      <c r="A2841" t="s">
        <v>8219</v>
      </c>
      <c r="B2841">
        <v>31</v>
      </c>
    </row>
    <row r="2842" spans="1:2" hidden="1" x14ac:dyDescent="0.2">
      <c r="A2842" t="s">
        <v>8219</v>
      </c>
      <c r="B2842">
        <v>132</v>
      </c>
    </row>
    <row r="2843" spans="1:2" x14ac:dyDescent="0.2">
      <c r="A2843" t="s">
        <v>8221</v>
      </c>
      <c r="B2843">
        <v>2</v>
      </c>
    </row>
    <row r="2844" spans="1:2" x14ac:dyDescent="0.2">
      <c r="A2844" t="s">
        <v>8221</v>
      </c>
      <c r="B2844">
        <v>1</v>
      </c>
    </row>
    <row r="2845" spans="1:2" x14ac:dyDescent="0.2">
      <c r="A2845" t="s">
        <v>8221</v>
      </c>
      <c r="B2845">
        <v>1</v>
      </c>
    </row>
    <row r="2846" spans="1:2" x14ac:dyDescent="0.2">
      <c r="A2846" t="s">
        <v>8221</v>
      </c>
      <c r="B2846">
        <v>1</v>
      </c>
    </row>
    <row r="2847" spans="1:2" x14ac:dyDescent="0.2">
      <c r="A2847" t="s">
        <v>8221</v>
      </c>
      <c r="B2847">
        <v>1</v>
      </c>
    </row>
    <row r="2848" spans="1:2" x14ac:dyDescent="0.2">
      <c r="A2848" t="s">
        <v>8221</v>
      </c>
      <c r="B2848">
        <v>1</v>
      </c>
    </row>
    <row r="2849" spans="1:2" x14ac:dyDescent="0.2">
      <c r="A2849" t="s">
        <v>8221</v>
      </c>
      <c r="B2849">
        <v>1</v>
      </c>
    </row>
    <row r="2850" spans="1:2" x14ac:dyDescent="0.2">
      <c r="A2850" t="s">
        <v>8221</v>
      </c>
      <c r="B2850">
        <v>1</v>
      </c>
    </row>
    <row r="2851" spans="1:2" x14ac:dyDescent="0.2">
      <c r="A2851" t="s">
        <v>8221</v>
      </c>
      <c r="B2851">
        <v>1</v>
      </c>
    </row>
    <row r="2852" spans="1:2" x14ac:dyDescent="0.2">
      <c r="A2852" t="s">
        <v>8221</v>
      </c>
      <c r="B2852">
        <v>1</v>
      </c>
    </row>
    <row r="2853" spans="1:2" x14ac:dyDescent="0.2">
      <c r="A2853" t="s">
        <v>8221</v>
      </c>
      <c r="B2853">
        <v>1</v>
      </c>
    </row>
    <row r="2854" spans="1:2" x14ac:dyDescent="0.2">
      <c r="A2854" t="s">
        <v>8221</v>
      </c>
      <c r="B2854">
        <v>1</v>
      </c>
    </row>
    <row r="2855" spans="1:2" x14ac:dyDescent="0.2">
      <c r="A2855" t="s">
        <v>8221</v>
      </c>
      <c r="B2855">
        <v>1</v>
      </c>
    </row>
    <row r="2856" spans="1:2" x14ac:dyDescent="0.2">
      <c r="A2856" t="s">
        <v>8221</v>
      </c>
      <c r="B2856">
        <v>1</v>
      </c>
    </row>
    <row r="2857" spans="1:2" x14ac:dyDescent="0.2">
      <c r="A2857" t="s">
        <v>8221</v>
      </c>
      <c r="B2857">
        <v>1</v>
      </c>
    </row>
    <row r="2858" spans="1:2" x14ac:dyDescent="0.2">
      <c r="A2858" t="s">
        <v>8221</v>
      </c>
      <c r="B2858">
        <v>1</v>
      </c>
    </row>
    <row r="2859" spans="1:2" x14ac:dyDescent="0.2">
      <c r="A2859" t="s">
        <v>8221</v>
      </c>
      <c r="B2859">
        <v>1</v>
      </c>
    </row>
    <row r="2860" spans="1:2" x14ac:dyDescent="0.2">
      <c r="A2860" t="s">
        <v>8221</v>
      </c>
      <c r="B2860">
        <v>1</v>
      </c>
    </row>
    <row r="2861" spans="1:2" x14ac:dyDescent="0.2">
      <c r="A2861" t="s">
        <v>8221</v>
      </c>
      <c r="B2861">
        <v>1</v>
      </c>
    </row>
    <row r="2862" spans="1:2" x14ac:dyDescent="0.2">
      <c r="A2862" t="s">
        <v>8221</v>
      </c>
      <c r="B2862">
        <v>1</v>
      </c>
    </row>
    <row r="2863" spans="1:2" x14ac:dyDescent="0.2">
      <c r="A2863" t="s">
        <v>8221</v>
      </c>
      <c r="B2863">
        <v>1</v>
      </c>
    </row>
    <row r="2864" spans="1:2" x14ac:dyDescent="0.2">
      <c r="A2864" t="s">
        <v>8221</v>
      </c>
      <c r="B2864">
        <v>1</v>
      </c>
    </row>
    <row r="2865" spans="1:2" x14ac:dyDescent="0.2">
      <c r="A2865" t="s">
        <v>8221</v>
      </c>
      <c r="B2865">
        <v>1</v>
      </c>
    </row>
    <row r="2866" spans="1:2" x14ac:dyDescent="0.2">
      <c r="A2866" t="s">
        <v>8221</v>
      </c>
      <c r="B2866">
        <v>1</v>
      </c>
    </row>
    <row r="2867" spans="1:2" x14ac:dyDescent="0.2">
      <c r="A2867" t="s">
        <v>8221</v>
      </c>
      <c r="B2867">
        <v>1</v>
      </c>
    </row>
    <row r="2868" spans="1:2" x14ac:dyDescent="0.2">
      <c r="A2868" t="s">
        <v>8221</v>
      </c>
      <c r="B2868">
        <v>1</v>
      </c>
    </row>
    <row r="2869" spans="1:2" x14ac:dyDescent="0.2">
      <c r="A2869" t="s">
        <v>8221</v>
      </c>
      <c r="B2869">
        <v>1</v>
      </c>
    </row>
    <row r="2870" spans="1:2" x14ac:dyDescent="0.2">
      <c r="A2870" t="s">
        <v>8221</v>
      </c>
      <c r="B2870">
        <v>1</v>
      </c>
    </row>
    <row r="2871" spans="1:2" x14ac:dyDescent="0.2">
      <c r="A2871" t="s">
        <v>8221</v>
      </c>
      <c r="B2871">
        <v>1</v>
      </c>
    </row>
    <row r="2872" spans="1:2" x14ac:dyDescent="0.2">
      <c r="A2872" t="s">
        <v>8221</v>
      </c>
      <c r="B2872">
        <v>1</v>
      </c>
    </row>
    <row r="2873" spans="1:2" x14ac:dyDescent="0.2">
      <c r="A2873" t="s">
        <v>8221</v>
      </c>
      <c r="B2873">
        <v>1</v>
      </c>
    </row>
    <row r="2874" spans="1:2" x14ac:dyDescent="0.2">
      <c r="A2874" t="s">
        <v>8221</v>
      </c>
      <c r="B2874">
        <v>1</v>
      </c>
    </row>
    <row r="2875" spans="1:2" x14ac:dyDescent="0.2">
      <c r="A2875" t="s">
        <v>8221</v>
      </c>
      <c r="B2875">
        <v>1</v>
      </c>
    </row>
    <row r="2876" spans="1:2" x14ac:dyDescent="0.2">
      <c r="A2876" t="s">
        <v>8221</v>
      </c>
      <c r="B2876">
        <v>1</v>
      </c>
    </row>
    <row r="2877" spans="1:2" x14ac:dyDescent="0.2">
      <c r="A2877" t="s">
        <v>8221</v>
      </c>
      <c r="B2877">
        <v>1</v>
      </c>
    </row>
    <row r="2878" spans="1:2" x14ac:dyDescent="0.2">
      <c r="A2878" t="s">
        <v>8221</v>
      </c>
      <c r="B2878">
        <v>1</v>
      </c>
    </row>
    <row r="2879" spans="1:2" x14ac:dyDescent="0.2">
      <c r="A2879" t="s">
        <v>8221</v>
      </c>
      <c r="B2879">
        <v>1</v>
      </c>
    </row>
    <row r="2880" spans="1:2" x14ac:dyDescent="0.2">
      <c r="A2880" t="s">
        <v>8221</v>
      </c>
      <c r="B2880">
        <v>1</v>
      </c>
    </row>
    <row r="2881" spans="1:2" x14ac:dyDescent="0.2">
      <c r="A2881" t="s">
        <v>8221</v>
      </c>
      <c r="B2881">
        <v>1</v>
      </c>
    </row>
    <row r="2882" spans="1:2" x14ac:dyDescent="0.2">
      <c r="A2882" t="s">
        <v>8221</v>
      </c>
      <c r="B2882">
        <v>1</v>
      </c>
    </row>
    <row r="2883" spans="1:2" x14ac:dyDescent="0.2">
      <c r="A2883" t="s">
        <v>8221</v>
      </c>
      <c r="B2883">
        <v>1</v>
      </c>
    </row>
    <row r="2884" spans="1:2" x14ac:dyDescent="0.2">
      <c r="A2884" t="s">
        <v>8221</v>
      </c>
      <c r="B2884">
        <v>1</v>
      </c>
    </row>
    <row r="2885" spans="1:2" x14ac:dyDescent="0.2">
      <c r="A2885" t="s">
        <v>8221</v>
      </c>
      <c r="B2885">
        <v>1</v>
      </c>
    </row>
    <row r="2886" spans="1:2" x14ac:dyDescent="0.2">
      <c r="A2886" t="s">
        <v>8221</v>
      </c>
      <c r="B2886">
        <v>1</v>
      </c>
    </row>
    <row r="2887" spans="1:2" x14ac:dyDescent="0.2">
      <c r="A2887" t="s">
        <v>8221</v>
      </c>
      <c r="B2887">
        <v>1</v>
      </c>
    </row>
    <row r="2888" spans="1:2" x14ac:dyDescent="0.2">
      <c r="A2888" t="s">
        <v>8221</v>
      </c>
      <c r="B2888">
        <v>1</v>
      </c>
    </row>
    <row r="2889" spans="1:2" x14ac:dyDescent="0.2">
      <c r="A2889" t="s">
        <v>8221</v>
      </c>
      <c r="B2889">
        <v>1</v>
      </c>
    </row>
    <row r="2890" spans="1:2" x14ac:dyDescent="0.2">
      <c r="A2890" t="s">
        <v>8221</v>
      </c>
      <c r="B2890">
        <v>1</v>
      </c>
    </row>
    <row r="2891" spans="1:2" x14ac:dyDescent="0.2">
      <c r="A2891" t="s">
        <v>8221</v>
      </c>
      <c r="B2891">
        <v>1</v>
      </c>
    </row>
    <row r="2892" spans="1:2" x14ac:dyDescent="0.2">
      <c r="A2892" t="s">
        <v>8221</v>
      </c>
      <c r="B2892">
        <v>1</v>
      </c>
    </row>
    <row r="2893" spans="1:2" x14ac:dyDescent="0.2">
      <c r="A2893" t="s">
        <v>8221</v>
      </c>
      <c r="B2893">
        <v>1</v>
      </c>
    </row>
    <row r="2894" spans="1:2" x14ac:dyDescent="0.2">
      <c r="A2894" t="s">
        <v>8221</v>
      </c>
      <c r="B2894">
        <v>1</v>
      </c>
    </row>
    <row r="2895" spans="1:2" x14ac:dyDescent="0.2">
      <c r="A2895" t="s">
        <v>8221</v>
      </c>
      <c r="B2895">
        <v>1</v>
      </c>
    </row>
    <row r="2896" spans="1:2" x14ac:dyDescent="0.2">
      <c r="A2896" t="s">
        <v>8221</v>
      </c>
      <c r="B2896">
        <v>1</v>
      </c>
    </row>
    <row r="2897" spans="1:2" x14ac:dyDescent="0.2">
      <c r="A2897" t="s">
        <v>8221</v>
      </c>
      <c r="B2897">
        <v>1</v>
      </c>
    </row>
    <row r="2898" spans="1:2" x14ac:dyDescent="0.2">
      <c r="A2898" t="s">
        <v>8221</v>
      </c>
      <c r="B2898">
        <v>1</v>
      </c>
    </row>
    <row r="2899" spans="1:2" x14ac:dyDescent="0.2">
      <c r="A2899" t="s">
        <v>8221</v>
      </c>
      <c r="B2899">
        <v>1</v>
      </c>
    </row>
    <row r="2900" spans="1:2" x14ac:dyDescent="0.2">
      <c r="A2900" t="s">
        <v>8221</v>
      </c>
      <c r="B2900">
        <v>1</v>
      </c>
    </row>
    <row r="2901" spans="1:2" x14ac:dyDescent="0.2">
      <c r="A2901" t="s">
        <v>8221</v>
      </c>
      <c r="B2901">
        <v>1</v>
      </c>
    </row>
    <row r="2902" spans="1:2" x14ac:dyDescent="0.2">
      <c r="A2902" t="s">
        <v>8221</v>
      </c>
      <c r="B2902">
        <v>1</v>
      </c>
    </row>
    <row r="2903" spans="1:2" x14ac:dyDescent="0.2">
      <c r="A2903" t="s">
        <v>8221</v>
      </c>
      <c r="B2903">
        <v>1</v>
      </c>
    </row>
    <row r="2904" spans="1:2" x14ac:dyDescent="0.2">
      <c r="A2904" t="s">
        <v>8221</v>
      </c>
      <c r="B2904">
        <v>1</v>
      </c>
    </row>
    <row r="2905" spans="1:2" x14ac:dyDescent="0.2">
      <c r="A2905" t="s">
        <v>8221</v>
      </c>
      <c r="B2905">
        <v>1</v>
      </c>
    </row>
    <row r="2906" spans="1:2" x14ac:dyDescent="0.2">
      <c r="A2906" t="s">
        <v>8221</v>
      </c>
      <c r="B2906">
        <v>1</v>
      </c>
    </row>
    <row r="2907" spans="1:2" x14ac:dyDescent="0.2">
      <c r="A2907" t="s">
        <v>8221</v>
      </c>
      <c r="B2907">
        <v>1</v>
      </c>
    </row>
    <row r="2908" spans="1:2" x14ac:dyDescent="0.2">
      <c r="A2908" t="s">
        <v>8221</v>
      </c>
      <c r="B2908">
        <v>1</v>
      </c>
    </row>
    <row r="2909" spans="1:2" x14ac:dyDescent="0.2">
      <c r="A2909" t="s">
        <v>8221</v>
      </c>
      <c r="B2909">
        <v>1</v>
      </c>
    </row>
    <row r="2910" spans="1:2" x14ac:dyDescent="0.2">
      <c r="A2910" t="s">
        <v>8221</v>
      </c>
      <c r="B2910">
        <v>1</v>
      </c>
    </row>
    <row r="2911" spans="1:2" x14ac:dyDescent="0.2">
      <c r="A2911" t="s">
        <v>8221</v>
      </c>
      <c r="B2911">
        <v>1</v>
      </c>
    </row>
    <row r="2912" spans="1:2" x14ac:dyDescent="0.2">
      <c r="A2912" t="s">
        <v>8221</v>
      </c>
      <c r="B2912">
        <v>1</v>
      </c>
    </row>
    <row r="2913" spans="1:2" x14ac:dyDescent="0.2">
      <c r="A2913" t="s">
        <v>8221</v>
      </c>
      <c r="B2913">
        <v>1</v>
      </c>
    </row>
    <row r="2914" spans="1:2" x14ac:dyDescent="0.2">
      <c r="A2914" t="s">
        <v>8221</v>
      </c>
      <c r="B2914">
        <v>1</v>
      </c>
    </row>
    <row r="2915" spans="1:2" x14ac:dyDescent="0.2">
      <c r="A2915" t="s">
        <v>8221</v>
      </c>
      <c r="B2915">
        <v>1</v>
      </c>
    </row>
    <row r="2916" spans="1:2" x14ac:dyDescent="0.2">
      <c r="A2916" t="s">
        <v>8221</v>
      </c>
      <c r="B2916">
        <v>1</v>
      </c>
    </row>
    <row r="2917" spans="1:2" x14ac:dyDescent="0.2">
      <c r="A2917" t="s">
        <v>8221</v>
      </c>
      <c r="B2917">
        <v>1</v>
      </c>
    </row>
    <row r="2918" spans="1:2" x14ac:dyDescent="0.2">
      <c r="A2918" t="s">
        <v>8221</v>
      </c>
      <c r="B2918">
        <v>1</v>
      </c>
    </row>
    <row r="2919" spans="1:2" x14ac:dyDescent="0.2">
      <c r="A2919" t="s">
        <v>8221</v>
      </c>
      <c r="B2919">
        <v>1</v>
      </c>
    </row>
    <row r="2920" spans="1:2" x14ac:dyDescent="0.2">
      <c r="A2920" t="s">
        <v>8221</v>
      </c>
      <c r="B2920">
        <v>1</v>
      </c>
    </row>
    <row r="2921" spans="1:2" x14ac:dyDescent="0.2">
      <c r="A2921" t="s">
        <v>8221</v>
      </c>
      <c r="B2921">
        <v>1</v>
      </c>
    </row>
    <row r="2922" spans="1:2" x14ac:dyDescent="0.2">
      <c r="A2922" t="s">
        <v>8221</v>
      </c>
      <c r="B2922">
        <v>1</v>
      </c>
    </row>
    <row r="2923" spans="1:2" hidden="1" x14ac:dyDescent="0.2">
      <c r="A2923" t="s">
        <v>8219</v>
      </c>
      <c r="B2923">
        <v>3</v>
      </c>
    </row>
    <row r="2924" spans="1:2" hidden="1" x14ac:dyDescent="0.2">
      <c r="A2924" t="s">
        <v>8219</v>
      </c>
      <c r="B2924">
        <v>6</v>
      </c>
    </row>
    <row r="2925" spans="1:2" hidden="1" x14ac:dyDescent="0.2">
      <c r="A2925" t="s">
        <v>8219</v>
      </c>
      <c r="B2925">
        <v>10</v>
      </c>
    </row>
    <row r="2926" spans="1:2" hidden="1" x14ac:dyDescent="0.2">
      <c r="A2926" t="s">
        <v>8219</v>
      </c>
      <c r="B2926">
        <v>147</v>
      </c>
    </row>
    <row r="2927" spans="1:2" hidden="1" x14ac:dyDescent="0.2">
      <c r="A2927" t="s">
        <v>8219</v>
      </c>
      <c r="B2927">
        <v>199</v>
      </c>
    </row>
    <row r="2928" spans="1:2" hidden="1" x14ac:dyDescent="0.2">
      <c r="A2928" t="s">
        <v>8219</v>
      </c>
      <c r="B2928">
        <v>50</v>
      </c>
    </row>
    <row r="2929" spans="1:2" hidden="1" x14ac:dyDescent="0.2">
      <c r="A2929" t="s">
        <v>8219</v>
      </c>
      <c r="B2929">
        <v>21</v>
      </c>
    </row>
    <row r="2930" spans="1:2" hidden="1" x14ac:dyDescent="0.2">
      <c r="A2930" t="s">
        <v>8219</v>
      </c>
      <c r="B2930">
        <v>24</v>
      </c>
    </row>
    <row r="2931" spans="1:2" hidden="1" x14ac:dyDescent="0.2">
      <c r="A2931" t="s">
        <v>8219</v>
      </c>
      <c r="B2931">
        <v>32</v>
      </c>
    </row>
    <row r="2932" spans="1:2" hidden="1" x14ac:dyDescent="0.2">
      <c r="A2932" t="s">
        <v>8219</v>
      </c>
      <c r="B2932">
        <v>62</v>
      </c>
    </row>
    <row r="2933" spans="1:2" hidden="1" x14ac:dyDescent="0.2">
      <c r="A2933" t="s">
        <v>8219</v>
      </c>
      <c r="B2933">
        <v>9</v>
      </c>
    </row>
    <row r="2934" spans="1:2" hidden="1" x14ac:dyDescent="0.2">
      <c r="A2934" t="s">
        <v>8219</v>
      </c>
      <c r="B2934">
        <v>38</v>
      </c>
    </row>
    <row r="2935" spans="1:2" hidden="1" x14ac:dyDescent="0.2">
      <c r="A2935" t="s">
        <v>8219</v>
      </c>
      <c r="B2935">
        <v>54</v>
      </c>
    </row>
    <row r="2936" spans="1:2" hidden="1" x14ac:dyDescent="0.2">
      <c r="A2936" t="s">
        <v>8219</v>
      </c>
      <c r="B2936">
        <v>37</v>
      </c>
    </row>
    <row r="2937" spans="1:2" hidden="1" x14ac:dyDescent="0.2">
      <c r="A2937" t="s">
        <v>8219</v>
      </c>
      <c r="B2937">
        <v>39</v>
      </c>
    </row>
    <row r="2938" spans="1:2" hidden="1" x14ac:dyDescent="0.2">
      <c r="A2938" t="s">
        <v>8219</v>
      </c>
      <c r="B2938">
        <v>34</v>
      </c>
    </row>
    <row r="2939" spans="1:2" hidden="1" x14ac:dyDescent="0.2">
      <c r="A2939" t="s">
        <v>8219</v>
      </c>
      <c r="B2939">
        <v>55</v>
      </c>
    </row>
    <row r="2940" spans="1:2" hidden="1" x14ac:dyDescent="0.2">
      <c r="A2940" t="s">
        <v>8219</v>
      </c>
      <c r="B2940">
        <v>32</v>
      </c>
    </row>
    <row r="2941" spans="1:2" hidden="1" x14ac:dyDescent="0.2">
      <c r="A2941" t="s">
        <v>8219</v>
      </c>
      <c r="B2941">
        <v>25</v>
      </c>
    </row>
    <row r="2942" spans="1:2" hidden="1" x14ac:dyDescent="0.2">
      <c r="A2942" t="s">
        <v>8219</v>
      </c>
      <c r="B2942">
        <v>33</v>
      </c>
    </row>
    <row r="2943" spans="1:2" x14ac:dyDescent="0.2">
      <c r="A2943" t="s">
        <v>8221</v>
      </c>
      <c r="B2943">
        <v>1</v>
      </c>
    </row>
    <row r="2944" spans="1:2" x14ac:dyDescent="0.2">
      <c r="A2944" t="s">
        <v>8221</v>
      </c>
      <c r="B2944">
        <v>1</v>
      </c>
    </row>
    <row r="2945" spans="1:2" x14ac:dyDescent="0.2">
      <c r="A2945" t="s">
        <v>8221</v>
      </c>
      <c r="B2945">
        <v>1</v>
      </c>
    </row>
    <row r="2946" spans="1:2" x14ac:dyDescent="0.2">
      <c r="A2946" t="s">
        <v>8221</v>
      </c>
      <c r="B2946">
        <v>1</v>
      </c>
    </row>
    <row r="2947" spans="1:2" x14ac:dyDescent="0.2">
      <c r="A2947" t="s">
        <v>8221</v>
      </c>
      <c r="B2947">
        <v>1</v>
      </c>
    </row>
    <row r="2948" spans="1:2" x14ac:dyDescent="0.2">
      <c r="A2948" t="s">
        <v>8221</v>
      </c>
      <c r="B2948">
        <v>1</v>
      </c>
    </row>
    <row r="2949" spans="1:2" x14ac:dyDescent="0.2">
      <c r="A2949" t="s">
        <v>8221</v>
      </c>
      <c r="B2949">
        <v>1</v>
      </c>
    </row>
    <row r="2950" spans="1:2" x14ac:dyDescent="0.2">
      <c r="A2950" t="s">
        <v>8221</v>
      </c>
      <c r="B2950">
        <v>1</v>
      </c>
    </row>
    <row r="2951" spans="1:2" x14ac:dyDescent="0.2">
      <c r="A2951" t="s">
        <v>8221</v>
      </c>
      <c r="B2951">
        <v>1</v>
      </c>
    </row>
    <row r="2952" spans="1:2" x14ac:dyDescent="0.2">
      <c r="A2952" t="s">
        <v>8221</v>
      </c>
      <c r="B2952">
        <v>1</v>
      </c>
    </row>
    <row r="2953" spans="1:2" hidden="1" x14ac:dyDescent="0.2">
      <c r="A2953" t="s">
        <v>8220</v>
      </c>
      <c r="B2953">
        <v>58</v>
      </c>
    </row>
    <row r="2954" spans="1:2" hidden="1" x14ac:dyDescent="0.2">
      <c r="A2954" t="s">
        <v>8220</v>
      </c>
      <c r="B2954">
        <v>8</v>
      </c>
    </row>
    <row r="2955" spans="1:2" hidden="1" x14ac:dyDescent="0.2">
      <c r="A2955" t="s">
        <v>8220</v>
      </c>
      <c r="B2955">
        <v>3</v>
      </c>
    </row>
    <row r="2956" spans="1:2" hidden="1" x14ac:dyDescent="0.2">
      <c r="A2956" t="s">
        <v>8220</v>
      </c>
      <c r="B2956">
        <v>0</v>
      </c>
    </row>
    <row r="2957" spans="1:2" hidden="1" x14ac:dyDescent="0.2">
      <c r="A2957" t="s">
        <v>8220</v>
      </c>
      <c r="B2957">
        <v>11</v>
      </c>
    </row>
    <row r="2958" spans="1:2" hidden="1" x14ac:dyDescent="0.2">
      <c r="A2958" t="s">
        <v>8220</v>
      </c>
      <c r="B2958">
        <v>20</v>
      </c>
    </row>
    <row r="2959" spans="1:2" hidden="1" x14ac:dyDescent="0.2">
      <c r="A2959" t="s">
        <v>8220</v>
      </c>
      <c r="B2959">
        <v>3</v>
      </c>
    </row>
    <row r="2960" spans="1:2" hidden="1" x14ac:dyDescent="0.2">
      <c r="A2960" t="s">
        <v>8220</v>
      </c>
      <c r="B2960">
        <v>0</v>
      </c>
    </row>
    <row r="2961" spans="1:2" hidden="1" x14ac:dyDescent="0.2">
      <c r="A2961" t="s">
        <v>8220</v>
      </c>
      <c r="B2961">
        <v>0</v>
      </c>
    </row>
    <row r="2962" spans="1:2" hidden="1" x14ac:dyDescent="0.2">
      <c r="A2962" t="s">
        <v>8220</v>
      </c>
      <c r="B2962">
        <v>0</v>
      </c>
    </row>
    <row r="2963" spans="1:2" hidden="1" x14ac:dyDescent="0.2">
      <c r="A2963" t="s">
        <v>8219</v>
      </c>
      <c r="B2963">
        <v>108</v>
      </c>
    </row>
    <row r="2964" spans="1:2" hidden="1" x14ac:dyDescent="0.2">
      <c r="A2964" t="s">
        <v>8219</v>
      </c>
      <c r="B2964">
        <v>20</v>
      </c>
    </row>
    <row r="2965" spans="1:2" hidden="1" x14ac:dyDescent="0.2">
      <c r="A2965" t="s">
        <v>8219</v>
      </c>
      <c r="B2965">
        <v>98</v>
      </c>
    </row>
    <row r="2966" spans="1:2" hidden="1" x14ac:dyDescent="0.2">
      <c r="A2966" t="s">
        <v>8219</v>
      </c>
      <c r="B2966">
        <v>196</v>
      </c>
    </row>
    <row r="2967" spans="1:2" hidden="1" x14ac:dyDescent="0.2">
      <c r="A2967" t="s">
        <v>8219</v>
      </c>
      <c r="B2967">
        <v>39</v>
      </c>
    </row>
    <row r="2968" spans="1:2" hidden="1" x14ac:dyDescent="0.2">
      <c r="A2968" t="s">
        <v>8219</v>
      </c>
      <c r="B2968">
        <v>128</v>
      </c>
    </row>
    <row r="2969" spans="1:2" hidden="1" x14ac:dyDescent="0.2">
      <c r="A2969" t="s">
        <v>8219</v>
      </c>
      <c r="B2969">
        <v>71</v>
      </c>
    </row>
    <row r="2970" spans="1:2" hidden="1" x14ac:dyDescent="0.2">
      <c r="A2970" t="s">
        <v>8219</v>
      </c>
      <c r="B2970">
        <v>47</v>
      </c>
    </row>
    <row r="2971" spans="1:2" hidden="1" x14ac:dyDescent="0.2">
      <c r="A2971" t="s">
        <v>8219</v>
      </c>
      <c r="B2971">
        <v>17</v>
      </c>
    </row>
    <row r="2972" spans="1:2" hidden="1" x14ac:dyDescent="0.2">
      <c r="A2972" t="s">
        <v>8219</v>
      </c>
      <c r="B2972">
        <v>91</v>
      </c>
    </row>
    <row r="2973" spans="1:2" hidden="1" x14ac:dyDescent="0.2">
      <c r="A2973" t="s">
        <v>8219</v>
      </c>
      <c r="B2973">
        <v>43</v>
      </c>
    </row>
    <row r="2974" spans="1:2" hidden="1" x14ac:dyDescent="0.2">
      <c r="A2974" t="s">
        <v>8219</v>
      </c>
      <c r="B2974">
        <v>17</v>
      </c>
    </row>
    <row r="2975" spans="1:2" hidden="1" x14ac:dyDescent="0.2">
      <c r="A2975" t="s">
        <v>8219</v>
      </c>
      <c r="B2975">
        <v>33</v>
      </c>
    </row>
    <row r="2976" spans="1:2" hidden="1" x14ac:dyDescent="0.2">
      <c r="A2976" t="s">
        <v>8219</v>
      </c>
      <c r="B2976">
        <v>87</v>
      </c>
    </row>
    <row r="2977" spans="1:2" hidden="1" x14ac:dyDescent="0.2">
      <c r="A2977" t="s">
        <v>8219</v>
      </c>
      <c r="B2977">
        <v>113</v>
      </c>
    </row>
    <row r="2978" spans="1:2" hidden="1" x14ac:dyDescent="0.2">
      <c r="A2978" t="s">
        <v>8219</v>
      </c>
      <c r="B2978">
        <v>14</v>
      </c>
    </row>
    <row r="2979" spans="1:2" hidden="1" x14ac:dyDescent="0.2">
      <c r="A2979" t="s">
        <v>8219</v>
      </c>
      <c r="B2979">
        <v>30</v>
      </c>
    </row>
    <row r="2980" spans="1:2" hidden="1" x14ac:dyDescent="0.2">
      <c r="A2980" t="s">
        <v>8219</v>
      </c>
      <c r="B2980">
        <v>16</v>
      </c>
    </row>
    <row r="2981" spans="1:2" hidden="1" x14ac:dyDescent="0.2">
      <c r="A2981" t="s">
        <v>8219</v>
      </c>
      <c r="B2981">
        <v>46</v>
      </c>
    </row>
    <row r="2982" spans="1:2" hidden="1" x14ac:dyDescent="0.2">
      <c r="A2982" t="s">
        <v>8219</v>
      </c>
      <c r="B2982">
        <v>24</v>
      </c>
    </row>
    <row r="2983" spans="1:2" hidden="1" x14ac:dyDescent="0.2">
      <c r="A2983" t="s">
        <v>8219</v>
      </c>
      <c r="B2983">
        <v>97</v>
      </c>
    </row>
    <row r="2984" spans="1:2" hidden="1" x14ac:dyDescent="0.2">
      <c r="A2984" t="s">
        <v>8219</v>
      </c>
      <c r="B2984">
        <v>59</v>
      </c>
    </row>
    <row r="2985" spans="1:2" hidden="1" x14ac:dyDescent="0.2">
      <c r="A2985" t="s">
        <v>8219</v>
      </c>
      <c r="B2985">
        <v>1095</v>
      </c>
    </row>
    <row r="2986" spans="1:2" hidden="1" x14ac:dyDescent="0.2">
      <c r="A2986" t="s">
        <v>8219</v>
      </c>
      <c r="B2986">
        <v>218</v>
      </c>
    </row>
    <row r="2987" spans="1:2" hidden="1" x14ac:dyDescent="0.2">
      <c r="A2987" t="s">
        <v>8219</v>
      </c>
      <c r="B2987">
        <v>111</v>
      </c>
    </row>
    <row r="2988" spans="1:2" hidden="1" x14ac:dyDescent="0.2">
      <c r="A2988" t="s">
        <v>8219</v>
      </c>
      <c r="B2988">
        <v>56</v>
      </c>
    </row>
    <row r="2989" spans="1:2" hidden="1" x14ac:dyDescent="0.2">
      <c r="A2989" t="s">
        <v>8219</v>
      </c>
      <c r="B2989">
        <v>265</v>
      </c>
    </row>
    <row r="2990" spans="1:2" hidden="1" x14ac:dyDescent="0.2">
      <c r="A2990" t="s">
        <v>8219</v>
      </c>
      <c r="B2990">
        <v>28</v>
      </c>
    </row>
    <row r="2991" spans="1:2" hidden="1" x14ac:dyDescent="0.2">
      <c r="A2991" t="s">
        <v>8219</v>
      </c>
      <c r="B2991">
        <v>364</v>
      </c>
    </row>
    <row r="2992" spans="1:2" hidden="1" x14ac:dyDescent="0.2">
      <c r="A2992" t="s">
        <v>8219</v>
      </c>
      <c r="B2992">
        <v>27</v>
      </c>
    </row>
    <row r="2993" spans="1:2" hidden="1" x14ac:dyDescent="0.2">
      <c r="A2993" t="s">
        <v>8219</v>
      </c>
      <c r="B2993">
        <v>93</v>
      </c>
    </row>
    <row r="2994" spans="1:2" hidden="1" x14ac:dyDescent="0.2">
      <c r="A2994" t="s">
        <v>8219</v>
      </c>
      <c r="B2994">
        <v>64</v>
      </c>
    </row>
    <row r="2995" spans="1:2" hidden="1" x14ac:dyDescent="0.2">
      <c r="A2995" t="s">
        <v>8219</v>
      </c>
      <c r="B2995">
        <v>22</v>
      </c>
    </row>
    <row r="2996" spans="1:2" hidden="1" x14ac:dyDescent="0.2">
      <c r="A2996" t="s">
        <v>8219</v>
      </c>
      <c r="B2996">
        <v>59</v>
      </c>
    </row>
    <row r="2997" spans="1:2" hidden="1" x14ac:dyDescent="0.2">
      <c r="A2997" t="s">
        <v>8219</v>
      </c>
      <c r="B2997">
        <v>249</v>
      </c>
    </row>
    <row r="2998" spans="1:2" hidden="1" x14ac:dyDescent="0.2">
      <c r="A2998" t="s">
        <v>8219</v>
      </c>
      <c r="B2998">
        <v>392</v>
      </c>
    </row>
    <row r="2999" spans="1:2" hidden="1" x14ac:dyDescent="0.2">
      <c r="A2999" t="s">
        <v>8219</v>
      </c>
      <c r="B2999">
        <v>115</v>
      </c>
    </row>
    <row r="3000" spans="1:2" hidden="1" x14ac:dyDescent="0.2">
      <c r="A3000" t="s">
        <v>8219</v>
      </c>
      <c r="B3000">
        <v>433</v>
      </c>
    </row>
    <row r="3001" spans="1:2" hidden="1" x14ac:dyDescent="0.2">
      <c r="A3001" t="s">
        <v>8219</v>
      </c>
      <c r="B3001">
        <v>20</v>
      </c>
    </row>
    <row r="3002" spans="1:2" hidden="1" x14ac:dyDescent="0.2">
      <c r="A3002" t="s">
        <v>8219</v>
      </c>
      <c r="B3002">
        <v>8</v>
      </c>
    </row>
    <row r="3003" spans="1:2" hidden="1" x14ac:dyDescent="0.2">
      <c r="A3003" t="s">
        <v>8219</v>
      </c>
      <c r="B3003">
        <v>175</v>
      </c>
    </row>
    <row r="3004" spans="1:2" hidden="1" x14ac:dyDescent="0.2">
      <c r="A3004" t="s">
        <v>8219</v>
      </c>
      <c r="B3004">
        <v>104</v>
      </c>
    </row>
    <row r="3005" spans="1:2" hidden="1" x14ac:dyDescent="0.2">
      <c r="A3005" t="s">
        <v>8219</v>
      </c>
      <c r="B3005">
        <v>17</v>
      </c>
    </row>
    <row r="3006" spans="1:2" hidden="1" x14ac:dyDescent="0.2">
      <c r="A3006" t="s">
        <v>8219</v>
      </c>
      <c r="B3006">
        <v>277</v>
      </c>
    </row>
    <row r="3007" spans="1:2" hidden="1" x14ac:dyDescent="0.2">
      <c r="A3007" t="s">
        <v>8219</v>
      </c>
      <c r="B3007">
        <v>118</v>
      </c>
    </row>
    <row r="3008" spans="1:2" hidden="1" x14ac:dyDescent="0.2">
      <c r="A3008" t="s">
        <v>8219</v>
      </c>
      <c r="B3008">
        <v>97</v>
      </c>
    </row>
    <row r="3009" spans="1:2" hidden="1" x14ac:dyDescent="0.2">
      <c r="A3009" t="s">
        <v>8219</v>
      </c>
      <c r="B3009">
        <v>20</v>
      </c>
    </row>
    <row r="3010" spans="1:2" hidden="1" x14ac:dyDescent="0.2">
      <c r="A3010" t="s">
        <v>8219</v>
      </c>
      <c r="B3010">
        <v>26</v>
      </c>
    </row>
    <row r="3011" spans="1:2" hidden="1" x14ac:dyDescent="0.2">
      <c r="A3011" t="s">
        <v>8219</v>
      </c>
      <c r="B3011">
        <v>128</v>
      </c>
    </row>
    <row r="3012" spans="1:2" hidden="1" x14ac:dyDescent="0.2">
      <c r="A3012" t="s">
        <v>8219</v>
      </c>
      <c r="B3012">
        <v>15</v>
      </c>
    </row>
    <row r="3013" spans="1:2" hidden="1" x14ac:dyDescent="0.2">
      <c r="A3013" t="s">
        <v>8219</v>
      </c>
      <c r="B3013">
        <v>25</v>
      </c>
    </row>
    <row r="3014" spans="1:2" hidden="1" x14ac:dyDescent="0.2">
      <c r="A3014" t="s">
        <v>8219</v>
      </c>
      <c r="B3014">
        <v>55</v>
      </c>
    </row>
    <row r="3015" spans="1:2" hidden="1" x14ac:dyDescent="0.2">
      <c r="A3015" t="s">
        <v>8219</v>
      </c>
      <c r="B3015">
        <v>107</v>
      </c>
    </row>
    <row r="3016" spans="1:2" hidden="1" x14ac:dyDescent="0.2">
      <c r="A3016" t="s">
        <v>8219</v>
      </c>
      <c r="B3016">
        <v>557</v>
      </c>
    </row>
    <row r="3017" spans="1:2" hidden="1" x14ac:dyDescent="0.2">
      <c r="A3017" t="s">
        <v>8219</v>
      </c>
      <c r="B3017">
        <v>40</v>
      </c>
    </row>
    <row r="3018" spans="1:2" hidden="1" x14ac:dyDescent="0.2">
      <c r="A3018" t="s">
        <v>8219</v>
      </c>
      <c r="B3018">
        <v>36</v>
      </c>
    </row>
    <row r="3019" spans="1:2" hidden="1" x14ac:dyDescent="0.2">
      <c r="A3019" t="s">
        <v>8219</v>
      </c>
      <c r="B3019">
        <v>159</v>
      </c>
    </row>
    <row r="3020" spans="1:2" hidden="1" x14ac:dyDescent="0.2">
      <c r="A3020" t="s">
        <v>8219</v>
      </c>
      <c r="B3020">
        <v>41</v>
      </c>
    </row>
    <row r="3021" spans="1:2" hidden="1" x14ac:dyDescent="0.2">
      <c r="A3021" t="s">
        <v>8219</v>
      </c>
      <c r="B3021">
        <v>226</v>
      </c>
    </row>
    <row r="3022" spans="1:2" hidden="1" x14ac:dyDescent="0.2">
      <c r="A3022" t="s">
        <v>8219</v>
      </c>
      <c r="B3022">
        <v>30</v>
      </c>
    </row>
    <row r="3023" spans="1:2" hidden="1" x14ac:dyDescent="0.2">
      <c r="A3023" t="s">
        <v>8219</v>
      </c>
      <c r="B3023">
        <v>103</v>
      </c>
    </row>
    <row r="3024" spans="1:2" hidden="1" x14ac:dyDescent="0.2">
      <c r="A3024" t="s">
        <v>8219</v>
      </c>
      <c r="B3024">
        <v>62</v>
      </c>
    </row>
    <row r="3025" spans="1:2" hidden="1" x14ac:dyDescent="0.2">
      <c r="A3025" t="s">
        <v>8219</v>
      </c>
      <c r="B3025">
        <v>6</v>
      </c>
    </row>
    <row r="3026" spans="1:2" hidden="1" x14ac:dyDescent="0.2">
      <c r="A3026" t="s">
        <v>8219</v>
      </c>
      <c r="B3026">
        <v>182</v>
      </c>
    </row>
    <row r="3027" spans="1:2" hidden="1" x14ac:dyDescent="0.2">
      <c r="A3027" t="s">
        <v>8219</v>
      </c>
      <c r="B3027">
        <v>145</v>
      </c>
    </row>
    <row r="3028" spans="1:2" hidden="1" x14ac:dyDescent="0.2">
      <c r="A3028" t="s">
        <v>8219</v>
      </c>
      <c r="B3028">
        <v>25</v>
      </c>
    </row>
    <row r="3029" spans="1:2" hidden="1" x14ac:dyDescent="0.2">
      <c r="A3029" t="s">
        <v>8219</v>
      </c>
      <c r="B3029">
        <v>320</v>
      </c>
    </row>
    <row r="3030" spans="1:2" hidden="1" x14ac:dyDescent="0.2">
      <c r="A3030" t="s">
        <v>8219</v>
      </c>
      <c r="B3030">
        <v>99</v>
      </c>
    </row>
    <row r="3031" spans="1:2" hidden="1" x14ac:dyDescent="0.2">
      <c r="A3031" t="s">
        <v>8219</v>
      </c>
      <c r="B3031">
        <v>348</v>
      </c>
    </row>
    <row r="3032" spans="1:2" hidden="1" x14ac:dyDescent="0.2">
      <c r="A3032" t="s">
        <v>8219</v>
      </c>
      <c r="B3032">
        <v>41</v>
      </c>
    </row>
    <row r="3033" spans="1:2" hidden="1" x14ac:dyDescent="0.2">
      <c r="A3033" t="s">
        <v>8219</v>
      </c>
      <c r="B3033">
        <v>29</v>
      </c>
    </row>
    <row r="3034" spans="1:2" hidden="1" x14ac:dyDescent="0.2">
      <c r="A3034" t="s">
        <v>8219</v>
      </c>
      <c r="B3034">
        <v>25</v>
      </c>
    </row>
    <row r="3035" spans="1:2" hidden="1" x14ac:dyDescent="0.2">
      <c r="A3035" t="s">
        <v>8219</v>
      </c>
      <c r="B3035">
        <v>23</v>
      </c>
    </row>
    <row r="3036" spans="1:2" hidden="1" x14ac:dyDescent="0.2">
      <c r="A3036" t="s">
        <v>8219</v>
      </c>
      <c r="B3036">
        <v>1260</v>
      </c>
    </row>
    <row r="3037" spans="1:2" hidden="1" x14ac:dyDescent="0.2">
      <c r="A3037" t="s">
        <v>8219</v>
      </c>
      <c r="B3037">
        <v>307</v>
      </c>
    </row>
    <row r="3038" spans="1:2" hidden="1" x14ac:dyDescent="0.2">
      <c r="A3038" t="s">
        <v>8219</v>
      </c>
      <c r="B3038">
        <v>329</v>
      </c>
    </row>
    <row r="3039" spans="1:2" hidden="1" x14ac:dyDescent="0.2">
      <c r="A3039" t="s">
        <v>8219</v>
      </c>
      <c r="B3039">
        <v>32</v>
      </c>
    </row>
    <row r="3040" spans="1:2" hidden="1" x14ac:dyDescent="0.2">
      <c r="A3040" t="s">
        <v>8219</v>
      </c>
      <c r="B3040">
        <v>27</v>
      </c>
    </row>
    <row r="3041" spans="1:2" hidden="1" x14ac:dyDescent="0.2">
      <c r="A3041" t="s">
        <v>8219</v>
      </c>
      <c r="B3041">
        <v>236</v>
      </c>
    </row>
    <row r="3042" spans="1:2" hidden="1" x14ac:dyDescent="0.2">
      <c r="A3042" t="s">
        <v>8219</v>
      </c>
      <c r="B3042">
        <v>42</v>
      </c>
    </row>
    <row r="3043" spans="1:2" hidden="1" x14ac:dyDescent="0.2">
      <c r="A3043" t="s">
        <v>8219</v>
      </c>
      <c r="B3043">
        <v>95</v>
      </c>
    </row>
    <row r="3044" spans="1:2" hidden="1" x14ac:dyDescent="0.2">
      <c r="A3044" t="s">
        <v>8219</v>
      </c>
      <c r="B3044">
        <v>37</v>
      </c>
    </row>
    <row r="3045" spans="1:2" hidden="1" x14ac:dyDescent="0.2">
      <c r="A3045" t="s">
        <v>8219</v>
      </c>
      <c r="B3045">
        <v>128</v>
      </c>
    </row>
    <row r="3046" spans="1:2" hidden="1" x14ac:dyDescent="0.2">
      <c r="A3046" t="s">
        <v>8219</v>
      </c>
      <c r="B3046">
        <v>156</v>
      </c>
    </row>
    <row r="3047" spans="1:2" hidden="1" x14ac:dyDescent="0.2">
      <c r="A3047" t="s">
        <v>8219</v>
      </c>
      <c r="B3047">
        <v>64</v>
      </c>
    </row>
    <row r="3048" spans="1:2" hidden="1" x14ac:dyDescent="0.2">
      <c r="A3048" t="s">
        <v>8219</v>
      </c>
      <c r="B3048">
        <v>58</v>
      </c>
    </row>
    <row r="3049" spans="1:2" hidden="1" x14ac:dyDescent="0.2">
      <c r="A3049" t="s">
        <v>8219</v>
      </c>
      <c r="B3049">
        <v>20</v>
      </c>
    </row>
    <row r="3050" spans="1:2" hidden="1" x14ac:dyDescent="0.2">
      <c r="A3050" t="s">
        <v>8219</v>
      </c>
      <c r="B3050">
        <v>47</v>
      </c>
    </row>
    <row r="3051" spans="1:2" hidden="1" x14ac:dyDescent="0.2">
      <c r="A3051" t="s">
        <v>8219</v>
      </c>
      <c r="B3051">
        <v>54</v>
      </c>
    </row>
    <row r="3052" spans="1:2" hidden="1" x14ac:dyDescent="0.2">
      <c r="A3052" t="s">
        <v>8219</v>
      </c>
      <c r="B3052">
        <v>9</v>
      </c>
    </row>
    <row r="3053" spans="1:2" x14ac:dyDescent="0.2">
      <c r="A3053" t="s">
        <v>8221</v>
      </c>
      <c r="B3053">
        <v>1</v>
      </c>
    </row>
    <row r="3054" spans="1:2" x14ac:dyDescent="0.2">
      <c r="A3054" t="s">
        <v>8221</v>
      </c>
      <c r="B3054">
        <v>1</v>
      </c>
    </row>
    <row r="3055" spans="1:2" x14ac:dyDescent="0.2">
      <c r="A3055" t="s">
        <v>8221</v>
      </c>
      <c r="B3055">
        <v>1</v>
      </c>
    </row>
    <row r="3056" spans="1:2" x14ac:dyDescent="0.2">
      <c r="A3056" t="s">
        <v>8221</v>
      </c>
      <c r="B3056">
        <v>1</v>
      </c>
    </row>
    <row r="3057" spans="1:2" x14ac:dyDescent="0.2">
      <c r="A3057" t="s">
        <v>8221</v>
      </c>
      <c r="B3057">
        <v>1</v>
      </c>
    </row>
    <row r="3058" spans="1:2" x14ac:dyDescent="0.2">
      <c r="A3058" t="s">
        <v>8221</v>
      </c>
      <c r="B3058">
        <v>1</v>
      </c>
    </row>
    <row r="3059" spans="1:2" x14ac:dyDescent="0.2">
      <c r="A3059" t="s">
        <v>8221</v>
      </c>
      <c r="B3059">
        <v>1</v>
      </c>
    </row>
    <row r="3060" spans="1:2" x14ac:dyDescent="0.2">
      <c r="A3060" t="s">
        <v>8221</v>
      </c>
      <c r="B3060">
        <v>1</v>
      </c>
    </row>
    <row r="3061" spans="1:2" x14ac:dyDescent="0.2">
      <c r="A3061" t="s">
        <v>8221</v>
      </c>
      <c r="B3061">
        <v>1</v>
      </c>
    </row>
    <row r="3062" spans="1:2" x14ac:dyDescent="0.2">
      <c r="A3062" t="s">
        <v>8221</v>
      </c>
      <c r="B3062">
        <v>1</v>
      </c>
    </row>
    <row r="3063" spans="1:2" x14ac:dyDescent="0.2">
      <c r="A3063" t="s">
        <v>8221</v>
      </c>
      <c r="B3063">
        <v>1</v>
      </c>
    </row>
    <row r="3064" spans="1:2" x14ac:dyDescent="0.2">
      <c r="A3064" t="s">
        <v>8221</v>
      </c>
      <c r="B3064">
        <v>1</v>
      </c>
    </row>
    <row r="3065" spans="1:2" x14ac:dyDescent="0.2">
      <c r="A3065" t="s">
        <v>8221</v>
      </c>
      <c r="B3065">
        <v>1</v>
      </c>
    </row>
    <row r="3066" spans="1:2" x14ac:dyDescent="0.2">
      <c r="A3066" t="s">
        <v>8221</v>
      </c>
      <c r="B3066">
        <v>1</v>
      </c>
    </row>
    <row r="3067" spans="1:2" x14ac:dyDescent="0.2">
      <c r="A3067" t="s">
        <v>8221</v>
      </c>
      <c r="B3067">
        <v>1</v>
      </c>
    </row>
    <row r="3068" spans="1:2" x14ac:dyDescent="0.2">
      <c r="A3068" t="s">
        <v>8221</v>
      </c>
      <c r="B3068">
        <v>1</v>
      </c>
    </row>
    <row r="3069" spans="1:2" x14ac:dyDescent="0.2">
      <c r="A3069" t="s">
        <v>8221</v>
      </c>
      <c r="B3069">
        <v>1</v>
      </c>
    </row>
    <row r="3070" spans="1:2" x14ac:dyDescent="0.2">
      <c r="A3070" t="s">
        <v>8221</v>
      </c>
      <c r="B3070">
        <v>1</v>
      </c>
    </row>
    <row r="3071" spans="1:2" x14ac:dyDescent="0.2">
      <c r="A3071" t="s">
        <v>8221</v>
      </c>
      <c r="B3071">
        <v>1</v>
      </c>
    </row>
    <row r="3072" spans="1:2" x14ac:dyDescent="0.2">
      <c r="A3072" t="s">
        <v>8221</v>
      </c>
      <c r="B3072">
        <v>1</v>
      </c>
    </row>
    <row r="3073" spans="1:2" x14ac:dyDescent="0.2">
      <c r="A3073" t="s">
        <v>8221</v>
      </c>
      <c r="B3073">
        <v>1</v>
      </c>
    </row>
    <row r="3074" spans="1:2" x14ac:dyDescent="0.2">
      <c r="A3074" t="s">
        <v>8221</v>
      </c>
      <c r="B3074">
        <v>1</v>
      </c>
    </row>
    <row r="3075" spans="1:2" x14ac:dyDescent="0.2">
      <c r="A3075" t="s">
        <v>8221</v>
      </c>
      <c r="B3075">
        <v>1</v>
      </c>
    </row>
    <row r="3076" spans="1:2" x14ac:dyDescent="0.2">
      <c r="A3076" t="s">
        <v>8221</v>
      </c>
      <c r="B3076">
        <v>1</v>
      </c>
    </row>
    <row r="3077" spans="1:2" x14ac:dyDescent="0.2">
      <c r="A3077" t="s">
        <v>8221</v>
      </c>
      <c r="B3077">
        <v>1</v>
      </c>
    </row>
    <row r="3078" spans="1:2" x14ac:dyDescent="0.2">
      <c r="A3078" t="s">
        <v>8221</v>
      </c>
      <c r="B3078">
        <v>1</v>
      </c>
    </row>
    <row r="3079" spans="1:2" x14ac:dyDescent="0.2">
      <c r="A3079" t="s">
        <v>8221</v>
      </c>
      <c r="B3079">
        <v>1</v>
      </c>
    </row>
    <row r="3080" spans="1:2" x14ac:dyDescent="0.2">
      <c r="A3080" t="s">
        <v>8221</v>
      </c>
      <c r="B3080">
        <v>1</v>
      </c>
    </row>
    <row r="3081" spans="1:2" x14ac:dyDescent="0.2">
      <c r="A3081" t="s">
        <v>8221</v>
      </c>
      <c r="B3081">
        <v>1</v>
      </c>
    </row>
    <row r="3082" spans="1:2" x14ac:dyDescent="0.2">
      <c r="A3082" t="s">
        <v>8221</v>
      </c>
      <c r="B3082">
        <v>1</v>
      </c>
    </row>
    <row r="3083" spans="1:2" x14ac:dyDescent="0.2">
      <c r="A3083" t="s">
        <v>8221</v>
      </c>
      <c r="B3083">
        <v>1</v>
      </c>
    </row>
    <row r="3084" spans="1:2" x14ac:dyDescent="0.2">
      <c r="A3084" t="s">
        <v>8221</v>
      </c>
      <c r="B3084">
        <v>1</v>
      </c>
    </row>
    <row r="3085" spans="1:2" x14ac:dyDescent="0.2">
      <c r="A3085" t="s">
        <v>8221</v>
      </c>
      <c r="B3085">
        <v>1</v>
      </c>
    </row>
    <row r="3086" spans="1:2" x14ac:dyDescent="0.2">
      <c r="A3086" t="s">
        <v>8221</v>
      </c>
      <c r="B3086">
        <v>1</v>
      </c>
    </row>
    <row r="3087" spans="1:2" x14ac:dyDescent="0.2">
      <c r="A3087" t="s">
        <v>8221</v>
      </c>
      <c r="B3087">
        <v>1</v>
      </c>
    </row>
    <row r="3088" spans="1:2" x14ac:dyDescent="0.2">
      <c r="A3088" t="s">
        <v>8221</v>
      </c>
      <c r="B3088">
        <v>1</v>
      </c>
    </row>
    <row r="3089" spans="1:2" x14ac:dyDescent="0.2">
      <c r="A3089" t="s">
        <v>8221</v>
      </c>
      <c r="B3089">
        <v>1</v>
      </c>
    </row>
    <row r="3090" spans="1:2" x14ac:dyDescent="0.2">
      <c r="A3090" t="s">
        <v>8221</v>
      </c>
      <c r="B3090">
        <v>1</v>
      </c>
    </row>
    <row r="3091" spans="1:2" x14ac:dyDescent="0.2">
      <c r="A3091" t="s">
        <v>8221</v>
      </c>
      <c r="B3091">
        <v>1</v>
      </c>
    </row>
    <row r="3092" spans="1:2" x14ac:dyDescent="0.2">
      <c r="A3092" t="s">
        <v>8221</v>
      </c>
      <c r="B3092">
        <v>1</v>
      </c>
    </row>
    <row r="3093" spans="1:2" x14ac:dyDescent="0.2">
      <c r="A3093" t="s">
        <v>8221</v>
      </c>
      <c r="B3093">
        <v>1</v>
      </c>
    </row>
    <row r="3094" spans="1:2" x14ac:dyDescent="0.2">
      <c r="A3094" t="s">
        <v>8221</v>
      </c>
      <c r="B3094">
        <v>1</v>
      </c>
    </row>
    <row r="3095" spans="1:2" x14ac:dyDescent="0.2">
      <c r="A3095" t="s">
        <v>8221</v>
      </c>
      <c r="B3095">
        <v>1</v>
      </c>
    </row>
    <row r="3096" spans="1:2" x14ac:dyDescent="0.2">
      <c r="A3096" t="s">
        <v>8221</v>
      </c>
      <c r="B3096">
        <v>1</v>
      </c>
    </row>
    <row r="3097" spans="1:2" x14ac:dyDescent="0.2">
      <c r="A3097" t="s">
        <v>8221</v>
      </c>
      <c r="B3097">
        <v>1</v>
      </c>
    </row>
    <row r="3098" spans="1:2" x14ac:dyDescent="0.2">
      <c r="A3098" t="s">
        <v>8221</v>
      </c>
      <c r="B3098">
        <v>1</v>
      </c>
    </row>
    <row r="3099" spans="1:2" x14ac:dyDescent="0.2">
      <c r="A3099" t="s">
        <v>8221</v>
      </c>
      <c r="B3099">
        <v>1</v>
      </c>
    </row>
    <row r="3100" spans="1:2" x14ac:dyDescent="0.2">
      <c r="A3100" t="s">
        <v>8221</v>
      </c>
      <c r="B3100">
        <v>1</v>
      </c>
    </row>
    <row r="3101" spans="1:2" x14ac:dyDescent="0.2">
      <c r="A3101" t="s">
        <v>8221</v>
      </c>
      <c r="B3101">
        <v>1</v>
      </c>
    </row>
    <row r="3102" spans="1:2" x14ac:dyDescent="0.2">
      <c r="A3102" t="s">
        <v>8221</v>
      </c>
      <c r="B3102">
        <v>1</v>
      </c>
    </row>
    <row r="3103" spans="1:2" x14ac:dyDescent="0.2">
      <c r="A3103" t="s">
        <v>8221</v>
      </c>
      <c r="B3103">
        <v>1</v>
      </c>
    </row>
    <row r="3104" spans="1:2" x14ac:dyDescent="0.2">
      <c r="A3104" t="s">
        <v>8221</v>
      </c>
      <c r="B3104">
        <v>1</v>
      </c>
    </row>
    <row r="3105" spans="1:2" x14ac:dyDescent="0.2">
      <c r="A3105" t="s">
        <v>8221</v>
      </c>
      <c r="B3105">
        <v>1</v>
      </c>
    </row>
    <row r="3106" spans="1:2" x14ac:dyDescent="0.2">
      <c r="A3106" t="s">
        <v>8221</v>
      </c>
      <c r="B3106">
        <v>1</v>
      </c>
    </row>
    <row r="3107" spans="1:2" x14ac:dyDescent="0.2">
      <c r="A3107" t="s">
        <v>8221</v>
      </c>
      <c r="B3107">
        <v>1</v>
      </c>
    </row>
    <row r="3108" spans="1:2" x14ac:dyDescent="0.2">
      <c r="A3108" t="s">
        <v>8221</v>
      </c>
      <c r="B3108">
        <v>1</v>
      </c>
    </row>
    <row r="3109" spans="1:2" x14ac:dyDescent="0.2">
      <c r="A3109" t="s">
        <v>8221</v>
      </c>
      <c r="B3109">
        <v>1</v>
      </c>
    </row>
    <row r="3110" spans="1:2" x14ac:dyDescent="0.2">
      <c r="A3110" t="s">
        <v>8221</v>
      </c>
      <c r="B3110">
        <v>1</v>
      </c>
    </row>
    <row r="3111" spans="1:2" x14ac:dyDescent="0.2">
      <c r="A3111" t="s">
        <v>8221</v>
      </c>
      <c r="B3111">
        <v>1</v>
      </c>
    </row>
    <row r="3112" spans="1:2" x14ac:dyDescent="0.2">
      <c r="A3112" t="s">
        <v>8221</v>
      </c>
      <c r="B3112">
        <v>1</v>
      </c>
    </row>
    <row r="3113" spans="1:2" x14ac:dyDescent="0.2">
      <c r="A3113" t="s">
        <v>8221</v>
      </c>
      <c r="B3113">
        <v>1</v>
      </c>
    </row>
    <row r="3114" spans="1:2" x14ac:dyDescent="0.2">
      <c r="A3114" t="s">
        <v>8221</v>
      </c>
      <c r="B3114">
        <v>1</v>
      </c>
    </row>
    <row r="3115" spans="1:2" x14ac:dyDescent="0.2">
      <c r="A3115" t="s">
        <v>8221</v>
      </c>
      <c r="B3115">
        <v>1</v>
      </c>
    </row>
    <row r="3116" spans="1:2" x14ac:dyDescent="0.2">
      <c r="A3116" t="s">
        <v>8221</v>
      </c>
      <c r="B3116">
        <v>1</v>
      </c>
    </row>
    <row r="3117" spans="1:2" x14ac:dyDescent="0.2">
      <c r="A3117" t="s">
        <v>8221</v>
      </c>
      <c r="B3117">
        <v>1</v>
      </c>
    </row>
    <row r="3118" spans="1:2" x14ac:dyDescent="0.2">
      <c r="A3118" t="s">
        <v>8221</v>
      </c>
      <c r="B3118">
        <v>1</v>
      </c>
    </row>
    <row r="3119" spans="1:2" x14ac:dyDescent="0.2">
      <c r="A3119" t="s">
        <v>8221</v>
      </c>
      <c r="B3119">
        <v>1</v>
      </c>
    </row>
    <row r="3120" spans="1:2" x14ac:dyDescent="0.2">
      <c r="A3120" t="s">
        <v>8221</v>
      </c>
      <c r="B3120">
        <v>1</v>
      </c>
    </row>
    <row r="3121" spans="1:2" x14ac:dyDescent="0.2">
      <c r="A3121" t="s">
        <v>8221</v>
      </c>
      <c r="B3121">
        <v>1</v>
      </c>
    </row>
    <row r="3122" spans="1:2" x14ac:dyDescent="0.2">
      <c r="A3122" t="s">
        <v>8221</v>
      </c>
      <c r="B3122">
        <v>1</v>
      </c>
    </row>
    <row r="3123" spans="1:2" hidden="1" x14ac:dyDescent="0.2">
      <c r="A3123" t="s">
        <v>8220</v>
      </c>
      <c r="B3123">
        <v>1</v>
      </c>
    </row>
    <row r="3124" spans="1:2" hidden="1" x14ac:dyDescent="0.2">
      <c r="A3124" t="s">
        <v>8220</v>
      </c>
      <c r="B3124">
        <v>2</v>
      </c>
    </row>
    <row r="3125" spans="1:2" hidden="1" x14ac:dyDescent="0.2">
      <c r="A3125" t="s">
        <v>8220</v>
      </c>
      <c r="B3125">
        <v>348</v>
      </c>
    </row>
    <row r="3126" spans="1:2" hidden="1" x14ac:dyDescent="0.2">
      <c r="A3126" t="s">
        <v>8220</v>
      </c>
      <c r="B3126">
        <v>4</v>
      </c>
    </row>
    <row r="3127" spans="1:2" hidden="1" x14ac:dyDescent="0.2">
      <c r="A3127" t="s">
        <v>8220</v>
      </c>
      <c r="B3127">
        <v>0</v>
      </c>
    </row>
    <row r="3128" spans="1:2" hidden="1" x14ac:dyDescent="0.2">
      <c r="A3128" t="s">
        <v>8220</v>
      </c>
      <c r="B3128">
        <v>17</v>
      </c>
    </row>
    <row r="3129" spans="1:2" hidden="1" x14ac:dyDescent="0.2">
      <c r="A3129" t="s">
        <v>8220</v>
      </c>
      <c r="B3129">
        <v>0</v>
      </c>
    </row>
    <row r="3130" spans="1:2" hidden="1" x14ac:dyDescent="0.2">
      <c r="A3130" t="s">
        <v>8222</v>
      </c>
      <c r="B3130">
        <v>117</v>
      </c>
    </row>
    <row r="3131" spans="1:2" hidden="1" x14ac:dyDescent="0.2">
      <c r="A3131" t="s">
        <v>8222</v>
      </c>
      <c r="B3131">
        <v>1</v>
      </c>
    </row>
    <row r="3132" spans="1:2" hidden="1" x14ac:dyDescent="0.2">
      <c r="A3132" t="s">
        <v>8222</v>
      </c>
      <c r="B3132">
        <v>4</v>
      </c>
    </row>
    <row r="3133" spans="1:2" hidden="1" x14ac:dyDescent="0.2">
      <c r="A3133" t="s">
        <v>8222</v>
      </c>
      <c r="B3133">
        <v>12</v>
      </c>
    </row>
    <row r="3134" spans="1:2" hidden="1" x14ac:dyDescent="0.2">
      <c r="A3134" t="s">
        <v>8222</v>
      </c>
      <c r="B3134">
        <v>1</v>
      </c>
    </row>
    <row r="3135" spans="1:2" hidden="1" x14ac:dyDescent="0.2">
      <c r="A3135" t="s">
        <v>8222</v>
      </c>
      <c r="B3135">
        <v>16</v>
      </c>
    </row>
    <row r="3136" spans="1:2" hidden="1" x14ac:dyDescent="0.2">
      <c r="A3136" t="s">
        <v>8222</v>
      </c>
      <c r="B3136">
        <v>12</v>
      </c>
    </row>
    <row r="3137" spans="1:2" hidden="1" x14ac:dyDescent="0.2">
      <c r="A3137" t="s">
        <v>8222</v>
      </c>
      <c r="B3137">
        <v>7</v>
      </c>
    </row>
    <row r="3138" spans="1:2" hidden="1" x14ac:dyDescent="0.2">
      <c r="A3138" t="s">
        <v>8222</v>
      </c>
      <c r="B3138">
        <v>22</v>
      </c>
    </row>
    <row r="3139" spans="1:2" hidden="1" x14ac:dyDescent="0.2">
      <c r="A3139" t="s">
        <v>8222</v>
      </c>
      <c r="B3139">
        <v>1</v>
      </c>
    </row>
    <row r="3140" spans="1:2" hidden="1" x14ac:dyDescent="0.2">
      <c r="A3140" t="s">
        <v>8222</v>
      </c>
      <c r="B3140">
        <v>0</v>
      </c>
    </row>
    <row r="3141" spans="1:2" hidden="1" x14ac:dyDescent="0.2">
      <c r="A3141" t="s">
        <v>8222</v>
      </c>
      <c r="B3141">
        <v>6</v>
      </c>
    </row>
    <row r="3142" spans="1:2" hidden="1" x14ac:dyDescent="0.2">
      <c r="A3142" t="s">
        <v>8222</v>
      </c>
      <c r="B3142">
        <v>4</v>
      </c>
    </row>
    <row r="3143" spans="1:2" hidden="1" x14ac:dyDescent="0.2">
      <c r="A3143" t="s">
        <v>8222</v>
      </c>
      <c r="B3143">
        <v>8</v>
      </c>
    </row>
    <row r="3144" spans="1:2" hidden="1" x14ac:dyDescent="0.2">
      <c r="A3144" t="s">
        <v>8222</v>
      </c>
      <c r="B3144">
        <v>3</v>
      </c>
    </row>
    <row r="3145" spans="1:2" hidden="1" x14ac:dyDescent="0.2">
      <c r="A3145" t="s">
        <v>8222</v>
      </c>
      <c r="B3145">
        <v>0</v>
      </c>
    </row>
    <row r="3146" spans="1:2" hidden="1" x14ac:dyDescent="0.2">
      <c r="A3146" t="s">
        <v>8222</v>
      </c>
      <c r="B3146">
        <v>30</v>
      </c>
    </row>
    <row r="3147" spans="1:2" hidden="1" x14ac:dyDescent="0.2">
      <c r="A3147" t="s">
        <v>8222</v>
      </c>
      <c r="B3147">
        <v>0</v>
      </c>
    </row>
    <row r="3148" spans="1:2" hidden="1" x14ac:dyDescent="0.2">
      <c r="A3148" t="s">
        <v>8222</v>
      </c>
      <c r="B3148">
        <v>12</v>
      </c>
    </row>
    <row r="3149" spans="1:2" hidden="1" x14ac:dyDescent="0.2">
      <c r="A3149" t="s">
        <v>8219</v>
      </c>
      <c r="B3149">
        <v>213</v>
      </c>
    </row>
    <row r="3150" spans="1:2" hidden="1" x14ac:dyDescent="0.2">
      <c r="A3150" t="s">
        <v>8219</v>
      </c>
      <c r="B3150">
        <v>57</v>
      </c>
    </row>
    <row r="3151" spans="1:2" hidden="1" x14ac:dyDescent="0.2">
      <c r="A3151" t="s">
        <v>8219</v>
      </c>
      <c r="B3151">
        <v>25</v>
      </c>
    </row>
    <row r="3152" spans="1:2" hidden="1" x14ac:dyDescent="0.2">
      <c r="A3152" t="s">
        <v>8219</v>
      </c>
      <c r="B3152">
        <v>104</v>
      </c>
    </row>
    <row r="3153" spans="1:2" hidden="1" x14ac:dyDescent="0.2">
      <c r="A3153" t="s">
        <v>8219</v>
      </c>
      <c r="B3153">
        <v>34</v>
      </c>
    </row>
    <row r="3154" spans="1:2" hidden="1" x14ac:dyDescent="0.2">
      <c r="A3154" t="s">
        <v>8219</v>
      </c>
      <c r="B3154">
        <v>67</v>
      </c>
    </row>
    <row r="3155" spans="1:2" hidden="1" x14ac:dyDescent="0.2">
      <c r="A3155" t="s">
        <v>8219</v>
      </c>
      <c r="B3155">
        <v>241</v>
      </c>
    </row>
    <row r="3156" spans="1:2" hidden="1" x14ac:dyDescent="0.2">
      <c r="A3156" t="s">
        <v>8219</v>
      </c>
      <c r="B3156">
        <v>123</v>
      </c>
    </row>
    <row r="3157" spans="1:2" hidden="1" x14ac:dyDescent="0.2">
      <c r="A3157" t="s">
        <v>8219</v>
      </c>
      <c r="B3157">
        <v>302</v>
      </c>
    </row>
    <row r="3158" spans="1:2" hidden="1" x14ac:dyDescent="0.2">
      <c r="A3158" t="s">
        <v>8219</v>
      </c>
      <c r="B3158">
        <v>89</v>
      </c>
    </row>
    <row r="3159" spans="1:2" hidden="1" x14ac:dyDescent="0.2">
      <c r="A3159" t="s">
        <v>8219</v>
      </c>
      <c r="B3159">
        <v>41</v>
      </c>
    </row>
    <row r="3160" spans="1:2" hidden="1" x14ac:dyDescent="0.2">
      <c r="A3160" t="s">
        <v>8219</v>
      </c>
      <c r="B3160">
        <v>69</v>
      </c>
    </row>
    <row r="3161" spans="1:2" hidden="1" x14ac:dyDescent="0.2">
      <c r="A3161" t="s">
        <v>8219</v>
      </c>
      <c r="B3161">
        <v>52</v>
      </c>
    </row>
    <row r="3162" spans="1:2" hidden="1" x14ac:dyDescent="0.2">
      <c r="A3162" t="s">
        <v>8219</v>
      </c>
      <c r="B3162">
        <v>57</v>
      </c>
    </row>
    <row r="3163" spans="1:2" hidden="1" x14ac:dyDescent="0.2">
      <c r="A3163" t="s">
        <v>8219</v>
      </c>
      <c r="B3163">
        <v>74</v>
      </c>
    </row>
    <row r="3164" spans="1:2" hidden="1" x14ac:dyDescent="0.2">
      <c r="A3164" t="s">
        <v>8219</v>
      </c>
      <c r="B3164">
        <v>63</v>
      </c>
    </row>
    <row r="3165" spans="1:2" hidden="1" x14ac:dyDescent="0.2">
      <c r="A3165" t="s">
        <v>8219</v>
      </c>
      <c r="B3165">
        <v>72</v>
      </c>
    </row>
    <row r="3166" spans="1:2" hidden="1" x14ac:dyDescent="0.2">
      <c r="A3166" t="s">
        <v>8219</v>
      </c>
      <c r="B3166">
        <v>71</v>
      </c>
    </row>
    <row r="3167" spans="1:2" hidden="1" x14ac:dyDescent="0.2">
      <c r="A3167" t="s">
        <v>8219</v>
      </c>
      <c r="B3167">
        <v>21</v>
      </c>
    </row>
    <row r="3168" spans="1:2" hidden="1" x14ac:dyDescent="0.2">
      <c r="A3168" t="s">
        <v>8219</v>
      </c>
      <c r="B3168">
        <v>930</v>
      </c>
    </row>
    <row r="3169" spans="1:2" hidden="1" x14ac:dyDescent="0.2">
      <c r="A3169" t="s">
        <v>8219</v>
      </c>
      <c r="B3169">
        <v>55</v>
      </c>
    </row>
    <row r="3170" spans="1:2" hidden="1" x14ac:dyDescent="0.2">
      <c r="A3170" t="s">
        <v>8219</v>
      </c>
      <c r="B3170">
        <v>61</v>
      </c>
    </row>
    <row r="3171" spans="1:2" hidden="1" x14ac:dyDescent="0.2">
      <c r="A3171" t="s">
        <v>8219</v>
      </c>
      <c r="B3171">
        <v>82</v>
      </c>
    </row>
    <row r="3172" spans="1:2" hidden="1" x14ac:dyDescent="0.2">
      <c r="A3172" t="s">
        <v>8219</v>
      </c>
      <c r="B3172">
        <v>71</v>
      </c>
    </row>
    <row r="3173" spans="1:2" hidden="1" x14ac:dyDescent="0.2">
      <c r="A3173" t="s">
        <v>8219</v>
      </c>
      <c r="B3173">
        <v>117</v>
      </c>
    </row>
    <row r="3174" spans="1:2" hidden="1" x14ac:dyDescent="0.2">
      <c r="A3174" t="s">
        <v>8219</v>
      </c>
      <c r="B3174">
        <v>29</v>
      </c>
    </row>
    <row r="3175" spans="1:2" hidden="1" x14ac:dyDescent="0.2">
      <c r="A3175" t="s">
        <v>8219</v>
      </c>
      <c r="B3175">
        <v>74</v>
      </c>
    </row>
    <row r="3176" spans="1:2" hidden="1" x14ac:dyDescent="0.2">
      <c r="A3176" t="s">
        <v>8219</v>
      </c>
      <c r="B3176">
        <v>23</v>
      </c>
    </row>
    <row r="3177" spans="1:2" hidden="1" x14ac:dyDescent="0.2">
      <c r="A3177" t="s">
        <v>8219</v>
      </c>
      <c r="B3177">
        <v>60</v>
      </c>
    </row>
    <row r="3178" spans="1:2" hidden="1" x14ac:dyDescent="0.2">
      <c r="A3178" t="s">
        <v>8219</v>
      </c>
      <c r="B3178">
        <v>55</v>
      </c>
    </row>
    <row r="3179" spans="1:2" hidden="1" x14ac:dyDescent="0.2">
      <c r="A3179" t="s">
        <v>8219</v>
      </c>
      <c r="B3179">
        <v>51</v>
      </c>
    </row>
    <row r="3180" spans="1:2" hidden="1" x14ac:dyDescent="0.2">
      <c r="A3180" t="s">
        <v>8219</v>
      </c>
      <c r="B3180">
        <v>78</v>
      </c>
    </row>
    <row r="3181" spans="1:2" hidden="1" x14ac:dyDescent="0.2">
      <c r="A3181" t="s">
        <v>8219</v>
      </c>
      <c r="B3181">
        <v>62</v>
      </c>
    </row>
    <row r="3182" spans="1:2" hidden="1" x14ac:dyDescent="0.2">
      <c r="A3182" t="s">
        <v>8219</v>
      </c>
      <c r="B3182">
        <v>45</v>
      </c>
    </row>
    <row r="3183" spans="1:2" hidden="1" x14ac:dyDescent="0.2">
      <c r="A3183" t="s">
        <v>8219</v>
      </c>
      <c r="B3183">
        <v>15</v>
      </c>
    </row>
    <row r="3184" spans="1:2" hidden="1" x14ac:dyDescent="0.2">
      <c r="A3184" t="s">
        <v>8219</v>
      </c>
      <c r="B3184">
        <v>151</v>
      </c>
    </row>
    <row r="3185" spans="1:2" hidden="1" x14ac:dyDescent="0.2">
      <c r="A3185" t="s">
        <v>8219</v>
      </c>
      <c r="B3185">
        <v>68</v>
      </c>
    </row>
    <row r="3186" spans="1:2" hidden="1" x14ac:dyDescent="0.2">
      <c r="A3186" t="s">
        <v>8219</v>
      </c>
      <c r="B3186">
        <v>46</v>
      </c>
    </row>
    <row r="3187" spans="1:2" hidden="1" x14ac:dyDescent="0.2">
      <c r="A3187" t="s">
        <v>8219</v>
      </c>
      <c r="B3187">
        <v>24</v>
      </c>
    </row>
    <row r="3188" spans="1:2" hidden="1" x14ac:dyDescent="0.2">
      <c r="A3188" t="s">
        <v>8219</v>
      </c>
      <c r="B3188">
        <v>70</v>
      </c>
    </row>
    <row r="3189" spans="1:2" hidden="1" x14ac:dyDescent="0.2">
      <c r="A3189" t="s">
        <v>8219</v>
      </c>
      <c r="B3189">
        <v>244</v>
      </c>
    </row>
    <row r="3190" spans="1:2" x14ac:dyDescent="0.2">
      <c r="A3190" t="s">
        <v>8221</v>
      </c>
      <c r="B3190">
        <v>1</v>
      </c>
    </row>
    <row r="3191" spans="1:2" x14ac:dyDescent="0.2">
      <c r="A3191" t="s">
        <v>8221</v>
      </c>
      <c r="B3191">
        <v>1</v>
      </c>
    </row>
    <row r="3192" spans="1:2" x14ac:dyDescent="0.2">
      <c r="A3192" t="s">
        <v>8221</v>
      </c>
      <c r="B3192">
        <v>1</v>
      </c>
    </row>
    <row r="3193" spans="1:2" x14ac:dyDescent="0.2">
      <c r="A3193" t="s">
        <v>8221</v>
      </c>
      <c r="B3193">
        <v>1</v>
      </c>
    </row>
    <row r="3194" spans="1:2" x14ac:dyDescent="0.2">
      <c r="A3194" t="s">
        <v>8221</v>
      </c>
      <c r="B3194">
        <v>1</v>
      </c>
    </row>
    <row r="3195" spans="1:2" x14ac:dyDescent="0.2">
      <c r="A3195" t="s">
        <v>8221</v>
      </c>
      <c r="B3195">
        <v>1</v>
      </c>
    </row>
    <row r="3196" spans="1:2" x14ac:dyDescent="0.2">
      <c r="A3196" t="s">
        <v>8221</v>
      </c>
      <c r="B3196">
        <v>1</v>
      </c>
    </row>
    <row r="3197" spans="1:2" x14ac:dyDescent="0.2">
      <c r="A3197" t="s">
        <v>8221</v>
      </c>
      <c r="B3197">
        <v>1</v>
      </c>
    </row>
    <row r="3198" spans="1:2" x14ac:dyDescent="0.2">
      <c r="A3198" t="s">
        <v>8221</v>
      </c>
      <c r="B3198">
        <v>1</v>
      </c>
    </row>
    <row r="3199" spans="1:2" x14ac:dyDescent="0.2">
      <c r="A3199" t="s">
        <v>8221</v>
      </c>
      <c r="B3199">
        <v>1</v>
      </c>
    </row>
    <row r="3200" spans="1:2" x14ac:dyDescent="0.2">
      <c r="A3200" t="s">
        <v>8221</v>
      </c>
      <c r="B3200">
        <v>1</v>
      </c>
    </row>
    <row r="3201" spans="1:2" x14ac:dyDescent="0.2">
      <c r="A3201" t="s">
        <v>8221</v>
      </c>
      <c r="B3201">
        <v>1</v>
      </c>
    </row>
    <row r="3202" spans="1:2" x14ac:dyDescent="0.2">
      <c r="A3202" t="s">
        <v>8221</v>
      </c>
      <c r="B3202">
        <v>1</v>
      </c>
    </row>
    <row r="3203" spans="1:2" x14ac:dyDescent="0.2">
      <c r="A3203" t="s">
        <v>8221</v>
      </c>
      <c r="B3203">
        <v>1</v>
      </c>
    </row>
    <row r="3204" spans="1:2" x14ac:dyDescent="0.2">
      <c r="A3204" t="s">
        <v>8221</v>
      </c>
      <c r="B3204">
        <v>1</v>
      </c>
    </row>
    <row r="3205" spans="1:2" x14ac:dyDescent="0.2">
      <c r="A3205" t="s">
        <v>8221</v>
      </c>
      <c r="B3205">
        <v>1</v>
      </c>
    </row>
    <row r="3206" spans="1:2" x14ac:dyDescent="0.2">
      <c r="A3206" t="s">
        <v>8221</v>
      </c>
      <c r="B3206">
        <v>1</v>
      </c>
    </row>
    <row r="3207" spans="1:2" x14ac:dyDescent="0.2">
      <c r="A3207" t="s">
        <v>8221</v>
      </c>
      <c r="B3207">
        <v>1</v>
      </c>
    </row>
    <row r="3208" spans="1:2" x14ac:dyDescent="0.2">
      <c r="A3208" t="s">
        <v>8221</v>
      </c>
      <c r="B3208">
        <v>1</v>
      </c>
    </row>
    <row r="3209" spans="1:2" x14ac:dyDescent="0.2">
      <c r="A3209" t="s">
        <v>8221</v>
      </c>
      <c r="B3209">
        <v>1</v>
      </c>
    </row>
    <row r="3210" spans="1:2" hidden="1" x14ac:dyDescent="0.2">
      <c r="A3210" t="s">
        <v>8219</v>
      </c>
      <c r="B3210">
        <v>82</v>
      </c>
    </row>
    <row r="3211" spans="1:2" hidden="1" x14ac:dyDescent="0.2">
      <c r="A3211" t="s">
        <v>8219</v>
      </c>
      <c r="B3211">
        <v>226</v>
      </c>
    </row>
    <row r="3212" spans="1:2" hidden="1" x14ac:dyDescent="0.2">
      <c r="A3212" t="s">
        <v>8219</v>
      </c>
      <c r="B3212">
        <v>60</v>
      </c>
    </row>
    <row r="3213" spans="1:2" hidden="1" x14ac:dyDescent="0.2">
      <c r="A3213" t="s">
        <v>8219</v>
      </c>
      <c r="B3213">
        <v>322</v>
      </c>
    </row>
    <row r="3214" spans="1:2" hidden="1" x14ac:dyDescent="0.2">
      <c r="A3214" t="s">
        <v>8219</v>
      </c>
      <c r="B3214">
        <v>94</v>
      </c>
    </row>
    <row r="3215" spans="1:2" hidden="1" x14ac:dyDescent="0.2">
      <c r="A3215" t="s">
        <v>8219</v>
      </c>
      <c r="B3215">
        <v>47</v>
      </c>
    </row>
    <row r="3216" spans="1:2" hidden="1" x14ac:dyDescent="0.2">
      <c r="A3216" t="s">
        <v>8219</v>
      </c>
      <c r="B3216">
        <v>115</v>
      </c>
    </row>
    <row r="3217" spans="1:2" hidden="1" x14ac:dyDescent="0.2">
      <c r="A3217" t="s">
        <v>8219</v>
      </c>
      <c r="B3217">
        <v>134</v>
      </c>
    </row>
    <row r="3218" spans="1:2" hidden="1" x14ac:dyDescent="0.2">
      <c r="A3218" t="s">
        <v>8219</v>
      </c>
      <c r="B3218">
        <v>35</v>
      </c>
    </row>
    <row r="3219" spans="1:2" hidden="1" x14ac:dyDescent="0.2">
      <c r="A3219" t="s">
        <v>8219</v>
      </c>
      <c r="B3219">
        <v>104</v>
      </c>
    </row>
    <row r="3220" spans="1:2" hidden="1" x14ac:dyDescent="0.2">
      <c r="A3220" t="s">
        <v>8219</v>
      </c>
      <c r="B3220">
        <v>184</v>
      </c>
    </row>
    <row r="3221" spans="1:2" hidden="1" x14ac:dyDescent="0.2">
      <c r="A3221" t="s">
        <v>8219</v>
      </c>
      <c r="B3221">
        <v>119</v>
      </c>
    </row>
    <row r="3222" spans="1:2" hidden="1" x14ac:dyDescent="0.2">
      <c r="A3222" t="s">
        <v>8219</v>
      </c>
      <c r="B3222">
        <v>59</v>
      </c>
    </row>
    <row r="3223" spans="1:2" hidden="1" x14ac:dyDescent="0.2">
      <c r="A3223" t="s">
        <v>8219</v>
      </c>
      <c r="B3223">
        <v>113</v>
      </c>
    </row>
    <row r="3224" spans="1:2" hidden="1" x14ac:dyDescent="0.2">
      <c r="A3224" t="s">
        <v>8219</v>
      </c>
      <c r="B3224">
        <v>84</v>
      </c>
    </row>
    <row r="3225" spans="1:2" hidden="1" x14ac:dyDescent="0.2">
      <c r="A3225" t="s">
        <v>8219</v>
      </c>
      <c r="B3225">
        <v>74</v>
      </c>
    </row>
    <row r="3226" spans="1:2" hidden="1" x14ac:dyDescent="0.2">
      <c r="A3226" t="s">
        <v>8219</v>
      </c>
      <c r="B3226">
        <v>216</v>
      </c>
    </row>
    <row r="3227" spans="1:2" hidden="1" x14ac:dyDescent="0.2">
      <c r="A3227" t="s">
        <v>8219</v>
      </c>
      <c r="B3227">
        <v>39</v>
      </c>
    </row>
    <row r="3228" spans="1:2" hidden="1" x14ac:dyDescent="0.2">
      <c r="A3228" t="s">
        <v>8219</v>
      </c>
      <c r="B3228">
        <v>21</v>
      </c>
    </row>
    <row r="3229" spans="1:2" hidden="1" x14ac:dyDescent="0.2">
      <c r="A3229" t="s">
        <v>8219</v>
      </c>
      <c r="B3229">
        <v>30</v>
      </c>
    </row>
    <row r="3230" spans="1:2" hidden="1" x14ac:dyDescent="0.2">
      <c r="A3230" t="s">
        <v>8219</v>
      </c>
      <c r="B3230">
        <v>37</v>
      </c>
    </row>
    <row r="3231" spans="1:2" hidden="1" x14ac:dyDescent="0.2">
      <c r="A3231" t="s">
        <v>8219</v>
      </c>
      <c r="B3231">
        <v>202</v>
      </c>
    </row>
    <row r="3232" spans="1:2" hidden="1" x14ac:dyDescent="0.2">
      <c r="A3232" t="s">
        <v>8219</v>
      </c>
      <c r="B3232">
        <v>37</v>
      </c>
    </row>
    <row r="3233" spans="1:2" hidden="1" x14ac:dyDescent="0.2">
      <c r="A3233" t="s">
        <v>8219</v>
      </c>
      <c r="B3233">
        <v>28</v>
      </c>
    </row>
    <row r="3234" spans="1:2" hidden="1" x14ac:dyDescent="0.2">
      <c r="A3234" t="s">
        <v>8219</v>
      </c>
      <c r="B3234">
        <v>26</v>
      </c>
    </row>
    <row r="3235" spans="1:2" hidden="1" x14ac:dyDescent="0.2">
      <c r="A3235" t="s">
        <v>8219</v>
      </c>
      <c r="B3235">
        <v>61</v>
      </c>
    </row>
    <row r="3236" spans="1:2" hidden="1" x14ac:dyDescent="0.2">
      <c r="A3236" t="s">
        <v>8219</v>
      </c>
      <c r="B3236">
        <v>115</v>
      </c>
    </row>
    <row r="3237" spans="1:2" hidden="1" x14ac:dyDescent="0.2">
      <c r="A3237" t="s">
        <v>8219</v>
      </c>
      <c r="B3237">
        <v>181</v>
      </c>
    </row>
    <row r="3238" spans="1:2" hidden="1" x14ac:dyDescent="0.2">
      <c r="A3238" t="s">
        <v>8219</v>
      </c>
      <c r="B3238">
        <v>110</v>
      </c>
    </row>
    <row r="3239" spans="1:2" hidden="1" x14ac:dyDescent="0.2">
      <c r="A3239" t="s">
        <v>8219</v>
      </c>
      <c r="B3239">
        <v>269</v>
      </c>
    </row>
    <row r="3240" spans="1:2" hidden="1" x14ac:dyDescent="0.2">
      <c r="A3240" t="s">
        <v>8219</v>
      </c>
      <c r="B3240">
        <v>79</v>
      </c>
    </row>
    <row r="3241" spans="1:2" hidden="1" x14ac:dyDescent="0.2">
      <c r="A3241" t="s">
        <v>8219</v>
      </c>
      <c r="B3241">
        <v>104</v>
      </c>
    </row>
    <row r="3242" spans="1:2" hidden="1" x14ac:dyDescent="0.2">
      <c r="A3242" t="s">
        <v>8219</v>
      </c>
      <c r="B3242">
        <v>34</v>
      </c>
    </row>
    <row r="3243" spans="1:2" hidden="1" x14ac:dyDescent="0.2">
      <c r="A3243" t="s">
        <v>8219</v>
      </c>
      <c r="B3243">
        <v>167</v>
      </c>
    </row>
    <row r="3244" spans="1:2" hidden="1" x14ac:dyDescent="0.2">
      <c r="A3244" t="s">
        <v>8219</v>
      </c>
      <c r="B3244">
        <v>183</v>
      </c>
    </row>
    <row r="3245" spans="1:2" hidden="1" x14ac:dyDescent="0.2">
      <c r="A3245" t="s">
        <v>8219</v>
      </c>
      <c r="B3245">
        <v>71</v>
      </c>
    </row>
    <row r="3246" spans="1:2" hidden="1" x14ac:dyDescent="0.2">
      <c r="A3246" t="s">
        <v>8219</v>
      </c>
      <c r="B3246">
        <v>69</v>
      </c>
    </row>
    <row r="3247" spans="1:2" hidden="1" x14ac:dyDescent="0.2">
      <c r="A3247" t="s">
        <v>8219</v>
      </c>
      <c r="B3247">
        <v>270</v>
      </c>
    </row>
    <row r="3248" spans="1:2" hidden="1" x14ac:dyDescent="0.2">
      <c r="A3248" t="s">
        <v>8219</v>
      </c>
      <c r="B3248">
        <v>193</v>
      </c>
    </row>
    <row r="3249" spans="1:2" hidden="1" x14ac:dyDescent="0.2">
      <c r="A3249" t="s">
        <v>8219</v>
      </c>
      <c r="B3249">
        <v>57</v>
      </c>
    </row>
    <row r="3250" spans="1:2" hidden="1" x14ac:dyDescent="0.2">
      <c r="A3250" t="s">
        <v>8219</v>
      </c>
      <c r="B3250">
        <v>200</v>
      </c>
    </row>
    <row r="3251" spans="1:2" hidden="1" x14ac:dyDescent="0.2">
      <c r="A3251" t="s">
        <v>8219</v>
      </c>
      <c r="B3251">
        <v>88</v>
      </c>
    </row>
    <row r="3252" spans="1:2" hidden="1" x14ac:dyDescent="0.2">
      <c r="A3252" t="s">
        <v>8219</v>
      </c>
      <c r="B3252">
        <v>213</v>
      </c>
    </row>
    <row r="3253" spans="1:2" hidden="1" x14ac:dyDescent="0.2">
      <c r="A3253" t="s">
        <v>8219</v>
      </c>
      <c r="B3253">
        <v>20</v>
      </c>
    </row>
    <row r="3254" spans="1:2" hidden="1" x14ac:dyDescent="0.2">
      <c r="A3254" t="s">
        <v>8219</v>
      </c>
      <c r="B3254">
        <v>50</v>
      </c>
    </row>
    <row r="3255" spans="1:2" hidden="1" x14ac:dyDescent="0.2">
      <c r="A3255" t="s">
        <v>8219</v>
      </c>
      <c r="B3255">
        <v>115</v>
      </c>
    </row>
    <row r="3256" spans="1:2" hidden="1" x14ac:dyDescent="0.2">
      <c r="A3256" t="s">
        <v>8219</v>
      </c>
      <c r="B3256">
        <v>186</v>
      </c>
    </row>
    <row r="3257" spans="1:2" hidden="1" x14ac:dyDescent="0.2">
      <c r="A3257" t="s">
        <v>8219</v>
      </c>
      <c r="B3257">
        <v>18</v>
      </c>
    </row>
    <row r="3258" spans="1:2" hidden="1" x14ac:dyDescent="0.2">
      <c r="A3258" t="s">
        <v>8219</v>
      </c>
      <c r="B3258">
        <v>176</v>
      </c>
    </row>
    <row r="3259" spans="1:2" hidden="1" x14ac:dyDescent="0.2">
      <c r="A3259" t="s">
        <v>8219</v>
      </c>
      <c r="B3259">
        <v>41</v>
      </c>
    </row>
    <row r="3260" spans="1:2" hidden="1" x14ac:dyDescent="0.2">
      <c r="A3260" t="s">
        <v>8219</v>
      </c>
      <c r="B3260">
        <v>75</v>
      </c>
    </row>
    <row r="3261" spans="1:2" hidden="1" x14ac:dyDescent="0.2">
      <c r="A3261" t="s">
        <v>8219</v>
      </c>
      <c r="B3261">
        <v>97</v>
      </c>
    </row>
    <row r="3262" spans="1:2" hidden="1" x14ac:dyDescent="0.2">
      <c r="A3262" t="s">
        <v>8219</v>
      </c>
      <c r="B3262">
        <v>73</v>
      </c>
    </row>
    <row r="3263" spans="1:2" hidden="1" x14ac:dyDescent="0.2">
      <c r="A3263" t="s">
        <v>8219</v>
      </c>
      <c r="B3263">
        <v>49</v>
      </c>
    </row>
    <row r="3264" spans="1:2" hidden="1" x14ac:dyDescent="0.2">
      <c r="A3264" t="s">
        <v>8219</v>
      </c>
      <c r="B3264">
        <v>134</v>
      </c>
    </row>
    <row r="3265" spans="1:2" hidden="1" x14ac:dyDescent="0.2">
      <c r="A3265" t="s">
        <v>8219</v>
      </c>
      <c r="B3265">
        <v>68</v>
      </c>
    </row>
    <row r="3266" spans="1:2" hidden="1" x14ac:dyDescent="0.2">
      <c r="A3266" t="s">
        <v>8219</v>
      </c>
      <c r="B3266">
        <v>49</v>
      </c>
    </row>
    <row r="3267" spans="1:2" hidden="1" x14ac:dyDescent="0.2">
      <c r="A3267" t="s">
        <v>8219</v>
      </c>
      <c r="B3267">
        <v>63</v>
      </c>
    </row>
    <row r="3268" spans="1:2" hidden="1" x14ac:dyDescent="0.2">
      <c r="A3268" t="s">
        <v>8219</v>
      </c>
      <c r="B3268">
        <v>163</v>
      </c>
    </row>
    <row r="3269" spans="1:2" hidden="1" x14ac:dyDescent="0.2">
      <c r="A3269" t="s">
        <v>8219</v>
      </c>
      <c r="B3269">
        <v>288</v>
      </c>
    </row>
    <row r="3270" spans="1:2" hidden="1" x14ac:dyDescent="0.2">
      <c r="A3270" t="s">
        <v>8219</v>
      </c>
      <c r="B3270">
        <v>42</v>
      </c>
    </row>
    <row r="3271" spans="1:2" hidden="1" x14ac:dyDescent="0.2">
      <c r="A3271" t="s">
        <v>8219</v>
      </c>
      <c r="B3271">
        <v>70</v>
      </c>
    </row>
    <row r="3272" spans="1:2" hidden="1" x14ac:dyDescent="0.2">
      <c r="A3272" t="s">
        <v>8219</v>
      </c>
      <c r="B3272">
        <v>30</v>
      </c>
    </row>
    <row r="3273" spans="1:2" hidden="1" x14ac:dyDescent="0.2">
      <c r="A3273" t="s">
        <v>8219</v>
      </c>
      <c r="B3273">
        <v>51</v>
      </c>
    </row>
    <row r="3274" spans="1:2" hidden="1" x14ac:dyDescent="0.2">
      <c r="A3274" t="s">
        <v>8219</v>
      </c>
      <c r="B3274">
        <v>145</v>
      </c>
    </row>
    <row r="3275" spans="1:2" hidden="1" x14ac:dyDescent="0.2">
      <c r="A3275" t="s">
        <v>8219</v>
      </c>
      <c r="B3275">
        <v>21</v>
      </c>
    </row>
    <row r="3276" spans="1:2" hidden="1" x14ac:dyDescent="0.2">
      <c r="A3276" t="s">
        <v>8219</v>
      </c>
      <c r="B3276">
        <v>286</v>
      </c>
    </row>
    <row r="3277" spans="1:2" hidden="1" x14ac:dyDescent="0.2">
      <c r="A3277" t="s">
        <v>8219</v>
      </c>
      <c r="B3277">
        <v>12</v>
      </c>
    </row>
    <row r="3278" spans="1:2" hidden="1" x14ac:dyDescent="0.2">
      <c r="A3278" t="s">
        <v>8219</v>
      </c>
      <c r="B3278">
        <v>100</v>
      </c>
    </row>
    <row r="3279" spans="1:2" hidden="1" x14ac:dyDescent="0.2">
      <c r="A3279" t="s">
        <v>8219</v>
      </c>
      <c r="B3279">
        <v>100</v>
      </c>
    </row>
    <row r="3280" spans="1:2" hidden="1" x14ac:dyDescent="0.2">
      <c r="A3280" t="s">
        <v>8219</v>
      </c>
      <c r="B3280">
        <v>34</v>
      </c>
    </row>
    <row r="3281" spans="1:2" hidden="1" x14ac:dyDescent="0.2">
      <c r="A3281" t="s">
        <v>8219</v>
      </c>
      <c r="B3281">
        <v>63</v>
      </c>
    </row>
    <row r="3282" spans="1:2" hidden="1" x14ac:dyDescent="0.2">
      <c r="A3282" t="s">
        <v>8219</v>
      </c>
      <c r="B3282">
        <v>30</v>
      </c>
    </row>
    <row r="3283" spans="1:2" hidden="1" x14ac:dyDescent="0.2">
      <c r="A3283" t="s">
        <v>8219</v>
      </c>
      <c r="B3283">
        <v>47</v>
      </c>
    </row>
    <row r="3284" spans="1:2" hidden="1" x14ac:dyDescent="0.2">
      <c r="A3284" t="s">
        <v>8219</v>
      </c>
      <c r="B3284">
        <v>237</v>
      </c>
    </row>
    <row r="3285" spans="1:2" hidden="1" x14ac:dyDescent="0.2">
      <c r="A3285" t="s">
        <v>8219</v>
      </c>
      <c r="B3285">
        <v>47</v>
      </c>
    </row>
    <row r="3286" spans="1:2" hidden="1" x14ac:dyDescent="0.2">
      <c r="A3286" t="s">
        <v>8219</v>
      </c>
      <c r="B3286">
        <v>15</v>
      </c>
    </row>
    <row r="3287" spans="1:2" hidden="1" x14ac:dyDescent="0.2">
      <c r="A3287" t="s">
        <v>8219</v>
      </c>
      <c r="B3287">
        <v>81</v>
      </c>
    </row>
    <row r="3288" spans="1:2" hidden="1" x14ac:dyDescent="0.2">
      <c r="A3288" t="s">
        <v>8219</v>
      </c>
      <c r="B3288">
        <v>122</v>
      </c>
    </row>
    <row r="3289" spans="1:2" hidden="1" x14ac:dyDescent="0.2">
      <c r="A3289" t="s">
        <v>8219</v>
      </c>
      <c r="B3289">
        <v>34</v>
      </c>
    </row>
    <row r="3290" spans="1:2" hidden="1" x14ac:dyDescent="0.2">
      <c r="A3290" t="s">
        <v>8219</v>
      </c>
      <c r="B3290">
        <v>207</v>
      </c>
    </row>
    <row r="3291" spans="1:2" hidden="1" x14ac:dyDescent="0.2">
      <c r="A3291" t="s">
        <v>8219</v>
      </c>
      <c r="B3291">
        <v>25</v>
      </c>
    </row>
    <row r="3292" spans="1:2" hidden="1" x14ac:dyDescent="0.2">
      <c r="A3292" t="s">
        <v>8219</v>
      </c>
      <c r="B3292">
        <v>72</v>
      </c>
    </row>
    <row r="3293" spans="1:2" hidden="1" x14ac:dyDescent="0.2">
      <c r="A3293" t="s">
        <v>8219</v>
      </c>
      <c r="B3293">
        <v>14</v>
      </c>
    </row>
    <row r="3294" spans="1:2" hidden="1" x14ac:dyDescent="0.2">
      <c r="A3294" t="s">
        <v>8219</v>
      </c>
      <c r="B3294">
        <v>15</v>
      </c>
    </row>
    <row r="3295" spans="1:2" hidden="1" x14ac:dyDescent="0.2">
      <c r="A3295" t="s">
        <v>8219</v>
      </c>
      <c r="B3295">
        <v>91</v>
      </c>
    </row>
    <row r="3296" spans="1:2" hidden="1" x14ac:dyDescent="0.2">
      <c r="A3296" t="s">
        <v>8219</v>
      </c>
      <c r="B3296">
        <v>24</v>
      </c>
    </row>
    <row r="3297" spans="1:2" hidden="1" x14ac:dyDescent="0.2">
      <c r="A3297" t="s">
        <v>8219</v>
      </c>
      <c r="B3297">
        <v>27</v>
      </c>
    </row>
    <row r="3298" spans="1:2" hidden="1" x14ac:dyDescent="0.2">
      <c r="A3298" t="s">
        <v>8219</v>
      </c>
      <c r="B3298">
        <v>47</v>
      </c>
    </row>
    <row r="3299" spans="1:2" hidden="1" x14ac:dyDescent="0.2">
      <c r="A3299" t="s">
        <v>8219</v>
      </c>
      <c r="B3299">
        <v>44</v>
      </c>
    </row>
    <row r="3300" spans="1:2" hidden="1" x14ac:dyDescent="0.2">
      <c r="A3300" t="s">
        <v>8219</v>
      </c>
      <c r="B3300">
        <v>72</v>
      </c>
    </row>
    <row r="3301" spans="1:2" hidden="1" x14ac:dyDescent="0.2">
      <c r="A3301" t="s">
        <v>8219</v>
      </c>
      <c r="B3301">
        <v>63</v>
      </c>
    </row>
    <row r="3302" spans="1:2" hidden="1" x14ac:dyDescent="0.2">
      <c r="A3302" t="s">
        <v>8219</v>
      </c>
      <c r="B3302">
        <v>88</v>
      </c>
    </row>
    <row r="3303" spans="1:2" hidden="1" x14ac:dyDescent="0.2">
      <c r="A3303" t="s">
        <v>8219</v>
      </c>
      <c r="B3303">
        <v>70</v>
      </c>
    </row>
    <row r="3304" spans="1:2" hidden="1" x14ac:dyDescent="0.2">
      <c r="A3304" t="s">
        <v>8219</v>
      </c>
      <c r="B3304">
        <v>50</v>
      </c>
    </row>
    <row r="3305" spans="1:2" hidden="1" x14ac:dyDescent="0.2">
      <c r="A3305" t="s">
        <v>8219</v>
      </c>
      <c r="B3305">
        <v>35</v>
      </c>
    </row>
    <row r="3306" spans="1:2" hidden="1" x14ac:dyDescent="0.2">
      <c r="A3306" t="s">
        <v>8219</v>
      </c>
      <c r="B3306">
        <v>175</v>
      </c>
    </row>
    <row r="3307" spans="1:2" hidden="1" x14ac:dyDescent="0.2">
      <c r="A3307" t="s">
        <v>8219</v>
      </c>
      <c r="B3307">
        <v>20</v>
      </c>
    </row>
    <row r="3308" spans="1:2" hidden="1" x14ac:dyDescent="0.2">
      <c r="A3308" t="s">
        <v>8219</v>
      </c>
      <c r="B3308">
        <v>54</v>
      </c>
    </row>
    <row r="3309" spans="1:2" hidden="1" x14ac:dyDescent="0.2">
      <c r="A3309" t="s">
        <v>8219</v>
      </c>
      <c r="B3309">
        <v>20</v>
      </c>
    </row>
    <row r="3310" spans="1:2" hidden="1" x14ac:dyDescent="0.2">
      <c r="A3310" t="s">
        <v>8219</v>
      </c>
      <c r="B3310">
        <v>57</v>
      </c>
    </row>
    <row r="3311" spans="1:2" hidden="1" x14ac:dyDescent="0.2">
      <c r="A3311" t="s">
        <v>8219</v>
      </c>
      <c r="B3311">
        <v>31</v>
      </c>
    </row>
    <row r="3312" spans="1:2" hidden="1" x14ac:dyDescent="0.2">
      <c r="A3312" t="s">
        <v>8219</v>
      </c>
      <c r="B3312">
        <v>31</v>
      </c>
    </row>
    <row r="3313" spans="1:2" hidden="1" x14ac:dyDescent="0.2">
      <c r="A3313" t="s">
        <v>8219</v>
      </c>
      <c r="B3313">
        <v>45</v>
      </c>
    </row>
    <row r="3314" spans="1:2" hidden="1" x14ac:dyDescent="0.2">
      <c r="A3314" t="s">
        <v>8219</v>
      </c>
      <c r="B3314">
        <v>41</v>
      </c>
    </row>
    <row r="3315" spans="1:2" hidden="1" x14ac:dyDescent="0.2">
      <c r="A3315" t="s">
        <v>8219</v>
      </c>
      <c r="B3315">
        <v>29</v>
      </c>
    </row>
    <row r="3316" spans="1:2" hidden="1" x14ac:dyDescent="0.2">
      <c r="A3316" t="s">
        <v>8219</v>
      </c>
      <c r="B3316">
        <v>58</v>
      </c>
    </row>
    <row r="3317" spans="1:2" hidden="1" x14ac:dyDescent="0.2">
      <c r="A3317" t="s">
        <v>8219</v>
      </c>
      <c r="B3317">
        <v>89</v>
      </c>
    </row>
    <row r="3318" spans="1:2" hidden="1" x14ac:dyDescent="0.2">
      <c r="A3318" t="s">
        <v>8219</v>
      </c>
      <c r="B3318">
        <v>125</v>
      </c>
    </row>
    <row r="3319" spans="1:2" hidden="1" x14ac:dyDescent="0.2">
      <c r="A3319" t="s">
        <v>8219</v>
      </c>
      <c r="B3319">
        <v>18</v>
      </c>
    </row>
    <row r="3320" spans="1:2" hidden="1" x14ac:dyDescent="0.2">
      <c r="A3320" t="s">
        <v>8219</v>
      </c>
      <c r="B3320">
        <v>32</v>
      </c>
    </row>
    <row r="3321" spans="1:2" hidden="1" x14ac:dyDescent="0.2">
      <c r="A3321" t="s">
        <v>8219</v>
      </c>
      <c r="B3321">
        <v>16</v>
      </c>
    </row>
    <row r="3322" spans="1:2" hidden="1" x14ac:dyDescent="0.2">
      <c r="A3322" t="s">
        <v>8219</v>
      </c>
      <c r="B3322">
        <v>38</v>
      </c>
    </row>
    <row r="3323" spans="1:2" hidden="1" x14ac:dyDescent="0.2">
      <c r="A3323" t="s">
        <v>8219</v>
      </c>
      <c r="B3323">
        <v>15</v>
      </c>
    </row>
    <row r="3324" spans="1:2" hidden="1" x14ac:dyDescent="0.2">
      <c r="A3324" t="s">
        <v>8219</v>
      </c>
      <c r="B3324">
        <v>23</v>
      </c>
    </row>
    <row r="3325" spans="1:2" hidden="1" x14ac:dyDescent="0.2">
      <c r="A3325" t="s">
        <v>8219</v>
      </c>
      <c r="B3325">
        <v>49</v>
      </c>
    </row>
    <row r="3326" spans="1:2" hidden="1" x14ac:dyDescent="0.2">
      <c r="A3326" t="s">
        <v>8219</v>
      </c>
      <c r="B3326">
        <v>10</v>
      </c>
    </row>
    <row r="3327" spans="1:2" hidden="1" x14ac:dyDescent="0.2">
      <c r="A3327" t="s">
        <v>8219</v>
      </c>
      <c r="B3327">
        <v>15</v>
      </c>
    </row>
    <row r="3328" spans="1:2" hidden="1" x14ac:dyDescent="0.2">
      <c r="A3328" t="s">
        <v>8219</v>
      </c>
      <c r="B3328">
        <v>57</v>
      </c>
    </row>
    <row r="3329" spans="1:2" hidden="1" x14ac:dyDescent="0.2">
      <c r="A3329" t="s">
        <v>8219</v>
      </c>
      <c r="B3329">
        <v>33</v>
      </c>
    </row>
    <row r="3330" spans="1:2" hidden="1" x14ac:dyDescent="0.2">
      <c r="A3330" t="s">
        <v>8219</v>
      </c>
      <c r="B3330">
        <v>9</v>
      </c>
    </row>
    <row r="3331" spans="1:2" hidden="1" x14ac:dyDescent="0.2">
      <c r="A3331" t="s">
        <v>8219</v>
      </c>
      <c r="B3331">
        <v>26</v>
      </c>
    </row>
    <row r="3332" spans="1:2" hidden="1" x14ac:dyDescent="0.2">
      <c r="A3332" t="s">
        <v>8219</v>
      </c>
      <c r="B3332">
        <v>69</v>
      </c>
    </row>
    <row r="3333" spans="1:2" hidden="1" x14ac:dyDescent="0.2">
      <c r="A3333" t="s">
        <v>8219</v>
      </c>
      <c r="B3333">
        <v>65</v>
      </c>
    </row>
    <row r="3334" spans="1:2" hidden="1" x14ac:dyDescent="0.2">
      <c r="A3334" t="s">
        <v>8219</v>
      </c>
      <c r="B3334">
        <v>83</v>
      </c>
    </row>
    <row r="3335" spans="1:2" hidden="1" x14ac:dyDescent="0.2">
      <c r="A3335" t="s">
        <v>8219</v>
      </c>
      <c r="B3335">
        <v>111</v>
      </c>
    </row>
    <row r="3336" spans="1:2" hidden="1" x14ac:dyDescent="0.2">
      <c r="A3336" t="s">
        <v>8219</v>
      </c>
      <c r="B3336">
        <v>46</v>
      </c>
    </row>
    <row r="3337" spans="1:2" hidden="1" x14ac:dyDescent="0.2">
      <c r="A3337" t="s">
        <v>8219</v>
      </c>
      <c r="B3337">
        <v>63</v>
      </c>
    </row>
    <row r="3338" spans="1:2" hidden="1" x14ac:dyDescent="0.2">
      <c r="A3338" t="s">
        <v>8219</v>
      </c>
      <c r="B3338">
        <v>9</v>
      </c>
    </row>
    <row r="3339" spans="1:2" hidden="1" x14ac:dyDescent="0.2">
      <c r="A3339" t="s">
        <v>8219</v>
      </c>
      <c r="B3339">
        <v>34</v>
      </c>
    </row>
    <row r="3340" spans="1:2" hidden="1" x14ac:dyDescent="0.2">
      <c r="A3340" t="s">
        <v>8219</v>
      </c>
      <c r="B3340">
        <v>112</v>
      </c>
    </row>
    <row r="3341" spans="1:2" hidden="1" x14ac:dyDescent="0.2">
      <c r="A3341" t="s">
        <v>8219</v>
      </c>
      <c r="B3341">
        <v>47</v>
      </c>
    </row>
    <row r="3342" spans="1:2" hidden="1" x14ac:dyDescent="0.2">
      <c r="A3342" t="s">
        <v>8219</v>
      </c>
      <c r="B3342">
        <v>38</v>
      </c>
    </row>
    <row r="3343" spans="1:2" hidden="1" x14ac:dyDescent="0.2">
      <c r="A3343" t="s">
        <v>8219</v>
      </c>
      <c r="B3343">
        <v>28</v>
      </c>
    </row>
    <row r="3344" spans="1:2" hidden="1" x14ac:dyDescent="0.2">
      <c r="A3344" t="s">
        <v>8219</v>
      </c>
      <c r="B3344">
        <v>78</v>
      </c>
    </row>
    <row r="3345" spans="1:2" hidden="1" x14ac:dyDescent="0.2">
      <c r="A3345" t="s">
        <v>8219</v>
      </c>
      <c r="B3345">
        <v>23</v>
      </c>
    </row>
    <row r="3346" spans="1:2" hidden="1" x14ac:dyDescent="0.2">
      <c r="A3346" t="s">
        <v>8219</v>
      </c>
      <c r="B3346">
        <v>40</v>
      </c>
    </row>
    <row r="3347" spans="1:2" hidden="1" x14ac:dyDescent="0.2">
      <c r="A3347" t="s">
        <v>8219</v>
      </c>
      <c r="B3347">
        <v>13</v>
      </c>
    </row>
    <row r="3348" spans="1:2" hidden="1" x14ac:dyDescent="0.2">
      <c r="A3348" t="s">
        <v>8219</v>
      </c>
      <c r="B3348">
        <v>18</v>
      </c>
    </row>
    <row r="3349" spans="1:2" hidden="1" x14ac:dyDescent="0.2">
      <c r="A3349" t="s">
        <v>8219</v>
      </c>
      <c r="B3349">
        <v>22</v>
      </c>
    </row>
    <row r="3350" spans="1:2" hidden="1" x14ac:dyDescent="0.2">
      <c r="A3350" t="s">
        <v>8219</v>
      </c>
      <c r="B3350">
        <v>79</v>
      </c>
    </row>
    <row r="3351" spans="1:2" hidden="1" x14ac:dyDescent="0.2">
      <c r="A3351" t="s">
        <v>8219</v>
      </c>
      <c r="B3351">
        <v>14</v>
      </c>
    </row>
    <row r="3352" spans="1:2" hidden="1" x14ac:dyDescent="0.2">
      <c r="A3352" t="s">
        <v>8219</v>
      </c>
      <c r="B3352">
        <v>51</v>
      </c>
    </row>
    <row r="3353" spans="1:2" hidden="1" x14ac:dyDescent="0.2">
      <c r="A3353" t="s">
        <v>8219</v>
      </c>
      <c r="B3353">
        <v>54</v>
      </c>
    </row>
    <row r="3354" spans="1:2" hidden="1" x14ac:dyDescent="0.2">
      <c r="A3354" t="s">
        <v>8219</v>
      </c>
      <c r="B3354">
        <v>70</v>
      </c>
    </row>
    <row r="3355" spans="1:2" hidden="1" x14ac:dyDescent="0.2">
      <c r="A3355" t="s">
        <v>8219</v>
      </c>
      <c r="B3355">
        <v>44</v>
      </c>
    </row>
    <row r="3356" spans="1:2" hidden="1" x14ac:dyDescent="0.2">
      <c r="A3356" t="s">
        <v>8219</v>
      </c>
      <c r="B3356">
        <v>55</v>
      </c>
    </row>
    <row r="3357" spans="1:2" hidden="1" x14ac:dyDescent="0.2">
      <c r="A3357" t="s">
        <v>8219</v>
      </c>
      <c r="B3357">
        <v>15</v>
      </c>
    </row>
    <row r="3358" spans="1:2" hidden="1" x14ac:dyDescent="0.2">
      <c r="A3358" t="s">
        <v>8219</v>
      </c>
      <c r="B3358">
        <v>27</v>
      </c>
    </row>
    <row r="3359" spans="1:2" hidden="1" x14ac:dyDescent="0.2">
      <c r="A3359" t="s">
        <v>8219</v>
      </c>
      <c r="B3359">
        <v>21</v>
      </c>
    </row>
    <row r="3360" spans="1:2" hidden="1" x14ac:dyDescent="0.2">
      <c r="A3360" t="s">
        <v>8219</v>
      </c>
      <c r="B3360">
        <v>162</v>
      </c>
    </row>
    <row r="3361" spans="1:2" hidden="1" x14ac:dyDescent="0.2">
      <c r="A3361" t="s">
        <v>8219</v>
      </c>
      <c r="B3361">
        <v>23</v>
      </c>
    </row>
    <row r="3362" spans="1:2" hidden="1" x14ac:dyDescent="0.2">
      <c r="A3362" t="s">
        <v>8219</v>
      </c>
      <c r="B3362">
        <v>72</v>
      </c>
    </row>
    <row r="3363" spans="1:2" hidden="1" x14ac:dyDescent="0.2">
      <c r="A3363" t="s">
        <v>8219</v>
      </c>
      <c r="B3363">
        <v>68</v>
      </c>
    </row>
    <row r="3364" spans="1:2" hidden="1" x14ac:dyDescent="0.2">
      <c r="A3364" t="s">
        <v>8219</v>
      </c>
      <c r="B3364">
        <v>20</v>
      </c>
    </row>
    <row r="3365" spans="1:2" hidden="1" x14ac:dyDescent="0.2">
      <c r="A3365" t="s">
        <v>8219</v>
      </c>
      <c r="B3365">
        <v>26</v>
      </c>
    </row>
    <row r="3366" spans="1:2" hidden="1" x14ac:dyDescent="0.2">
      <c r="A3366" t="s">
        <v>8219</v>
      </c>
      <c r="B3366">
        <v>72</v>
      </c>
    </row>
    <row r="3367" spans="1:2" hidden="1" x14ac:dyDescent="0.2">
      <c r="A3367" t="s">
        <v>8219</v>
      </c>
      <c r="B3367">
        <v>3</v>
      </c>
    </row>
    <row r="3368" spans="1:2" hidden="1" x14ac:dyDescent="0.2">
      <c r="A3368" t="s">
        <v>8219</v>
      </c>
      <c r="B3368">
        <v>18</v>
      </c>
    </row>
    <row r="3369" spans="1:2" hidden="1" x14ac:dyDescent="0.2">
      <c r="A3369" t="s">
        <v>8219</v>
      </c>
      <c r="B3369">
        <v>30</v>
      </c>
    </row>
    <row r="3370" spans="1:2" hidden="1" x14ac:dyDescent="0.2">
      <c r="A3370" t="s">
        <v>8219</v>
      </c>
      <c r="B3370">
        <v>23</v>
      </c>
    </row>
    <row r="3371" spans="1:2" hidden="1" x14ac:dyDescent="0.2">
      <c r="A3371" t="s">
        <v>8219</v>
      </c>
      <c r="B3371">
        <v>54</v>
      </c>
    </row>
    <row r="3372" spans="1:2" hidden="1" x14ac:dyDescent="0.2">
      <c r="A3372" t="s">
        <v>8219</v>
      </c>
      <c r="B3372">
        <v>26</v>
      </c>
    </row>
    <row r="3373" spans="1:2" hidden="1" x14ac:dyDescent="0.2">
      <c r="A3373" t="s">
        <v>8219</v>
      </c>
      <c r="B3373">
        <v>9</v>
      </c>
    </row>
    <row r="3374" spans="1:2" hidden="1" x14ac:dyDescent="0.2">
      <c r="A3374" t="s">
        <v>8219</v>
      </c>
      <c r="B3374">
        <v>27</v>
      </c>
    </row>
    <row r="3375" spans="1:2" hidden="1" x14ac:dyDescent="0.2">
      <c r="A3375" t="s">
        <v>8219</v>
      </c>
      <c r="B3375">
        <v>30</v>
      </c>
    </row>
    <row r="3376" spans="1:2" hidden="1" x14ac:dyDescent="0.2">
      <c r="A3376" t="s">
        <v>8219</v>
      </c>
      <c r="B3376">
        <v>52</v>
      </c>
    </row>
    <row r="3377" spans="1:2" hidden="1" x14ac:dyDescent="0.2">
      <c r="A3377" t="s">
        <v>8219</v>
      </c>
      <c r="B3377">
        <v>17</v>
      </c>
    </row>
    <row r="3378" spans="1:2" hidden="1" x14ac:dyDescent="0.2">
      <c r="A3378" t="s">
        <v>8219</v>
      </c>
      <c r="B3378">
        <v>19</v>
      </c>
    </row>
    <row r="3379" spans="1:2" hidden="1" x14ac:dyDescent="0.2">
      <c r="A3379" t="s">
        <v>8219</v>
      </c>
      <c r="B3379">
        <v>77</v>
      </c>
    </row>
    <row r="3380" spans="1:2" hidden="1" x14ac:dyDescent="0.2">
      <c r="A3380" t="s">
        <v>8219</v>
      </c>
      <c r="B3380">
        <v>21</v>
      </c>
    </row>
    <row r="3381" spans="1:2" hidden="1" x14ac:dyDescent="0.2">
      <c r="A3381" t="s">
        <v>8219</v>
      </c>
      <c r="B3381">
        <v>38</v>
      </c>
    </row>
    <row r="3382" spans="1:2" hidden="1" x14ac:dyDescent="0.2">
      <c r="A3382" t="s">
        <v>8219</v>
      </c>
      <c r="B3382">
        <v>28</v>
      </c>
    </row>
    <row r="3383" spans="1:2" hidden="1" x14ac:dyDescent="0.2">
      <c r="A3383" t="s">
        <v>8219</v>
      </c>
      <c r="B3383">
        <v>48</v>
      </c>
    </row>
    <row r="3384" spans="1:2" hidden="1" x14ac:dyDescent="0.2">
      <c r="A3384" t="s">
        <v>8219</v>
      </c>
      <c r="B3384">
        <v>46</v>
      </c>
    </row>
    <row r="3385" spans="1:2" hidden="1" x14ac:dyDescent="0.2">
      <c r="A3385" t="s">
        <v>8219</v>
      </c>
      <c r="B3385">
        <v>30</v>
      </c>
    </row>
    <row r="3386" spans="1:2" hidden="1" x14ac:dyDescent="0.2">
      <c r="A3386" t="s">
        <v>8219</v>
      </c>
      <c r="B3386">
        <v>64</v>
      </c>
    </row>
    <row r="3387" spans="1:2" hidden="1" x14ac:dyDescent="0.2">
      <c r="A3387" t="s">
        <v>8219</v>
      </c>
      <c r="B3387">
        <v>15</v>
      </c>
    </row>
    <row r="3388" spans="1:2" hidden="1" x14ac:dyDescent="0.2">
      <c r="A3388" t="s">
        <v>8219</v>
      </c>
      <c r="B3388">
        <v>41</v>
      </c>
    </row>
    <row r="3389" spans="1:2" hidden="1" x14ac:dyDescent="0.2">
      <c r="A3389" t="s">
        <v>8219</v>
      </c>
      <c r="B3389">
        <v>35</v>
      </c>
    </row>
    <row r="3390" spans="1:2" hidden="1" x14ac:dyDescent="0.2">
      <c r="A3390" t="s">
        <v>8219</v>
      </c>
      <c r="B3390">
        <v>45</v>
      </c>
    </row>
    <row r="3391" spans="1:2" hidden="1" x14ac:dyDescent="0.2">
      <c r="A3391" t="s">
        <v>8219</v>
      </c>
      <c r="B3391">
        <v>62</v>
      </c>
    </row>
    <row r="3392" spans="1:2" hidden="1" x14ac:dyDescent="0.2">
      <c r="A3392" t="s">
        <v>8219</v>
      </c>
      <c r="B3392">
        <v>22</v>
      </c>
    </row>
    <row r="3393" spans="1:2" hidden="1" x14ac:dyDescent="0.2">
      <c r="A3393" t="s">
        <v>8219</v>
      </c>
      <c r="B3393">
        <v>18</v>
      </c>
    </row>
    <row r="3394" spans="1:2" hidden="1" x14ac:dyDescent="0.2">
      <c r="A3394" t="s">
        <v>8219</v>
      </c>
      <c r="B3394">
        <v>12</v>
      </c>
    </row>
    <row r="3395" spans="1:2" hidden="1" x14ac:dyDescent="0.2">
      <c r="A3395" t="s">
        <v>8219</v>
      </c>
      <c r="B3395">
        <v>44</v>
      </c>
    </row>
    <row r="3396" spans="1:2" hidden="1" x14ac:dyDescent="0.2">
      <c r="A3396" t="s">
        <v>8219</v>
      </c>
      <c r="B3396">
        <v>27</v>
      </c>
    </row>
    <row r="3397" spans="1:2" hidden="1" x14ac:dyDescent="0.2">
      <c r="A3397" t="s">
        <v>8219</v>
      </c>
      <c r="B3397">
        <v>38</v>
      </c>
    </row>
    <row r="3398" spans="1:2" hidden="1" x14ac:dyDescent="0.2">
      <c r="A3398" t="s">
        <v>8219</v>
      </c>
      <c r="B3398">
        <v>28</v>
      </c>
    </row>
    <row r="3399" spans="1:2" hidden="1" x14ac:dyDescent="0.2">
      <c r="A3399" t="s">
        <v>8219</v>
      </c>
      <c r="B3399">
        <v>24</v>
      </c>
    </row>
    <row r="3400" spans="1:2" hidden="1" x14ac:dyDescent="0.2">
      <c r="A3400" t="s">
        <v>8219</v>
      </c>
      <c r="B3400">
        <v>65</v>
      </c>
    </row>
    <row r="3401" spans="1:2" hidden="1" x14ac:dyDescent="0.2">
      <c r="A3401" t="s">
        <v>8219</v>
      </c>
      <c r="B3401">
        <v>46</v>
      </c>
    </row>
    <row r="3402" spans="1:2" hidden="1" x14ac:dyDescent="0.2">
      <c r="A3402" t="s">
        <v>8219</v>
      </c>
      <c r="B3402">
        <v>85</v>
      </c>
    </row>
    <row r="3403" spans="1:2" hidden="1" x14ac:dyDescent="0.2">
      <c r="A3403" t="s">
        <v>8219</v>
      </c>
      <c r="B3403">
        <v>66</v>
      </c>
    </row>
    <row r="3404" spans="1:2" hidden="1" x14ac:dyDescent="0.2">
      <c r="A3404" t="s">
        <v>8219</v>
      </c>
      <c r="B3404">
        <v>165</v>
      </c>
    </row>
    <row r="3405" spans="1:2" hidden="1" x14ac:dyDescent="0.2">
      <c r="A3405" t="s">
        <v>8219</v>
      </c>
      <c r="B3405">
        <v>17</v>
      </c>
    </row>
    <row r="3406" spans="1:2" hidden="1" x14ac:dyDescent="0.2">
      <c r="A3406" t="s">
        <v>8219</v>
      </c>
      <c r="B3406">
        <v>3</v>
      </c>
    </row>
    <row r="3407" spans="1:2" hidden="1" x14ac:dyDescent="0.2">
      <c r="A3407" t="s">
        <v>8219</v>
      </c>
      <c r="B3407">
        <v>17</v>
      </c>
    </row>
    <row r="3408" spans="1:2" hidden="1" x14ac:dyDescent="0.2">
      <c r="A3408" t="s">
        <v>8219</v>
      </c>
      <c r="B3408">
        <v>91</v>
      </c>
    </row>
    <row r="3409" spans="1:2" hidden="1" x14ac:dyDescent="0.2">
      <c r="A3409" t="s">
        <v>8219</v>
      </c>
      <c r="B3409">
        <v>67</v>
      </c>
    </row>
    <row r="3410" spans="1:2" hidden="1" x14ac:dyDescent="0.2">
      <c r="A3410" t="s">
        <v>8219</v>
      </c>
      <c r="B3410">
        <v>18</v>
      </c>
    </row>
    <row r="3411" spans="1:2" hidden="1" x14ac:dyDescent="0.2">
      <c r="A3411" t="s">
        <v>8219</v>
      </c>
      <c r="B3411">
        <v>21</v>
      </c>
    </row>
    <row r="3412" spans="1:2" hidden="1" x14ac:dyDescent="0.2">
      <c r="A3412" t="s">
        <v>8219</v>
      </c>
      <c r="B3412">
        <v>40</v>
      </c>
    </row>
    <row r="3413" spans="1:2" hidden="1" x14ac:dyDescent="0.2">
      <c r="A3413" t="s">
        <v>8219</v>
      </c>
      <c r="B3413">
        <v>78</v>
      </c>
    </row>
    <row r="3414" spans="1:2" hidden="1" x14ac:dyDescent="0.2">
      <c r="A3414" t="s">
        <v>8219</v>
      </c>
      <c r="B3414">
        <v>26</v>
      </c>
    </row>
    <row r="3415" spans="1:2" hidden="1" x14ac:dyDescent="0.2">
      <c r="A3415" t="s">
        <v>8219</v>
      </c>
      <c r="B3415">
        <v>14</v>
      </c>
    </row>
    <row r="3416" spans="1:2" hidden="1" x14ac:dyDescent="0.2">
      <c r="A3416" t="s">
        <v>8219</v>
      </c>
      <c r="B3416">
        <v>44</v>
      </c>
    </row>
    <row r="3417" spans="1:2" hidden="1" x14ac:dyDescent="0.2">
      <c r="A3417" t="s">
        <v>8219</v>
      </c>
      <c r="B3417">
        <v>9</v>
      </c>
    </row>
    <row r="3418" spans="1:2" hidden="1" x14ac:dyDescent="0.2">
      <c r="A3418" t="s">
        <v>8219</v>
      </c>
      <c r="B3418">
        <v>30</v>
      </c>
    </row>
    <row r="3419" spans="1:2" hidden="1" x14ac:dyDescent="0.2">
      <c r="A3419" t="s">
        <v>8219</v>
      </c>
      <c r="B3419">
        <v>45</v>
      </c>
    </row>
    <row r="3420" spans="1:2" hidden="1" x14ac:dyDescent="0.2">
      <c r="A3420" t="s">
        <v>8219</v>
      </c>
      <c r="B3420">
        <v>56</v>
      </c>
    </row>
    <row r="3421" spans="1:2" hidden="1" x14ac:dyDescent="0.2">
      <c r="A3421" t="s">
        <v>8219</v>
      </c>
      <c r="B3421">
        <v>46</v>
      </c>
    </row>
    <row r="3422" spans="1:2" hidden="1" x14ac:dyDescent="0.2">
      <c r="A3422" t="s">
        <v>8219</v>
      </c>
      <c r="B3422">
        <v>34</v>
      </c>
    </row>
    <row r="3423" spans="1:2" hidden="1" x14ac:dyDescent="0.2">
      <c r="A3423" t="s">
        <v>8219</v>
      </c>
      <c r="B3423">
        <v>98</v>
      </c>
    </row>
    <row r="3424" spans="1:2" hidden="1" x14ac:dyDescent="0.2">
      <c r="A3424" t="s">
        <v>8219</v>
      </c>
      <c r="B3424">
        <v>46</v>
      </c>
    </row>
    <row r="3425" spans="1:2" hidden="1" x14ac:dyDescent="0.2">
      <c r="A3425" t="s">
        <v>8219</v>
      </c>
      <c r="B3425">
        <v>10</v>
      </c>
    </row>
    <row r="3426" spans="1:2" hidden="1" x14ac:dyDescent="0.2">
      <c r="A3426" t="s">
        <v>8219</v>
      </c>
      <c r="B3426">
        <v>76</v>
      </c>
    </row>
    <row r="3427" spans="1:2" hidden="1" x14ac:dyDescent="0.2">
      <c r="A3427" t="s">
        <v>8219</v>
      </c>
      <c r="B3427">
        <v>104</v>
      </c>
    </row>
    <row r="3428" spans="1:2" hidden="1" x14ac:dyDescent="0.2">
      <c r="A3428" t="s">
        <v>8219</v>
      </c>
      <c r="B3428">
        <v>87</v>
      </c>
    </row>
    <row r="3429" spans="1:2" hidden="1" x14ac:dyDescent="0.2">
      <c r="A3429" t="s">
        <v>8219</v>
      </c>
      <c r="B3429">
        <v>29</v>
      </c>
    </row>
    <row r="3430" spans="1:2" hidden="1" x14ac:dyDescent="0.2">
      <c r="A3430" t="s">
        <v>8219</v>
      </c>
      <c r="B3430">
        <v>51</v>
      </c>
    </row>
    <row r="3431" spans="1:2" hidden="1" x14ac:dyDescent="0.2">
      <c r="A3431" t="s">
        <v>8219</v>
      </c>
      <c r="B3431">
        <v>12</v>
      </c>
    </row>
    <row r="3432" spans="1:2" hidden="1" x14ac:dyDescent="0.2">
      <c r="A3432" t="s">
        <v>8219</v>
      </c>
      <c r="B3432">
        <v>72</v>
      </c>
    </row>
    <row r="3433" spans="1:2" hidden="1" x14ac:dyDescent="0.2">
      <c r="A3433" t="s">
        <v>8219</v>
      </c>
      <c r="B3433">
        <v>21</v>
      </c>
    </row>
    <row r="3434" spans="1:2" hidden="1" x14ac:dyDescent="0.2">
      <c r="A3434" t="s">
        <v>8219</v>
      </c>
      <c r="B3434">
        <v>42</v>
      </c>
    </row>
    <row r="3435" spans="1:2" hidden="1" x14ac:dyDescent="0.2">
      <c r="A3435" t="s">
        <v>8219</v>
      </c>
      <c r="B3435">
        <v>71</v>
      </c>
    </row>
    <row r="3436" spans="1:2" hidden="1" x14ac:dyDescent="0.2">
      <c r="A3436" t="s">
        <v>8219</v>
      </c>
      <c r="B3436">
        <v>168</v>
      </c>
    </row>
    <row r="3437" spans="1:2" hidden="1" x14ac:dyDescent="0.2">
      <c r="A3437" t="s">
        <v>8219</v>
      </c>
      <c r="B3437">
        <v>19</v>
      </c>
    </row>
    <row r="3438" spans="1:2" hidden="1" x14ac:dyDescent="0.2">
      <c r="A3438" t="s">
        <v>8219</v>
      </c>
      <c r="B3438">
        <v>37</v>
      </c>
    </row>
    <row r="3439" spans="1:2" hidden="1" x14ac:dyDescent="0.2">
      <c r="A3439" t="s">
        <v>8219</v>
      </c>
      <c r="B3439">
        <v>36</v>
      </c>
    </row>
    <row r="3440" spans="1:2" hidden="1" x14ac:dyDescent="0.2">
      <c r="A3440" t="s">
        <v>8219</v>
      </c>
      <c r="B3440">
        <v>14</v>
      </c>
    </row>
    <row r="3441" spans="1:2" hidden="1" x14ac:dyDescent="0.2">
      <c r="A3441" t="s">
        <v>8219</v>
      </c>
      <c r="B3441">
        <v>18</v>
      </c>
    </row>
    <row r="3442" spans="1:2" hidden="1" x14ac:dyDescent="0.2">
      <c r="A3442" t="s">
        <v>8219</v>
      </c>
      <c r="B3442">
        <v>82</v>
      </c>
    </row>
    <row r="3443" spans="1:2" hidden="1" x14ac:dyDescent="0.2">
      <c r="A3443" t="s">
        <v>8219</v>
      </c>
      <c r="B3443">
        <v>43</v>
      </c>
    </row>
    <row r="3444" spans="1:2" hidden="1" x14ac:dyDescent="0.2">
      <c r="A3444" t="s">
        <v>8219</v>
      </c>
      <c r="B3444">
        <v>8</v>
      </c>
    </row>
    <row r="3445" spans="1:2" hidden="1" x14ac:dyDescent="0.2">
      <c r="A3445" t="s">
        <v>8219</v>
      </c>
      <c r="B3445">
        <v>45</v>
      </c>
    </row>
    <row r="3446" spans="1:2" hidden="1" x14ac:dyDescent="0.2">
      <c r="A3446" t="s">
        <v>8219</v>
      </c>
      <c r="B3446">
        <v>20</v>
      </c>
    </row>
    <row r="3447" spans="1:2" hidden="1" x14ac:dyDescent="0.2">
      <c r="A3447" t="s">
        <v>8219</v>
      </c>
      <c r="B3447">
        <v>31</v>
      </c>
    </row>
    <row r="3448" spans="1:2" hidden="1" x14ac:dyDescent="0.2">
      <c r="A3448" t="s">
        <v>8219</v>
      </c>
      <c r="B3448">
        <v>25</v>
      </c>
    </row>
    <row r="3449" spans="1:2" hidden="1" x14ac:dyDescent="0.2">
      <c r="A3449" t="s">
        <v>8219</v>
      </c>
      <c r="B3449">
        <v>14</v>
      </c>
    </row>
    <row r="3450" spans="1:2" hidden="1" x14ac:dyDescent="0.2">
      <c r="A3450" t="s">
        <v>8219</v>
      </c>
      <c r="B3450">
        <v>45</v>
      </c>
    </row>
    <row r="3451" spans="1:2" hidden="1" x14ac:dyDescent="0.2">
      <c r="A3451" t="s">
        <v>8219</v>
      </c>
      <c r="B3451">
        <v>20</v>
      </c>
    </row>
    <row r="3452" spans="1:2" hidden="1" x14ac:dyDescent="0.2">
      <c r="A3452" t="s">
        <v>8219</v>
      </c>
      <c r="B3452">
        <v>39</v>
      </c>
    </row>
    <row r="3453" spans="1:2" hidden="1" x14ac:dyDescent="0.2">
      <c r="A3453" t="s">
        <v>8219</v>
      </c>
      <c r="B3453">
        <v>16</v>
      </c>
    </row>
    <row r="3454" spans="1:2" hidden="1" x14ac:dyDescent="0.2">
      <c r="A3454" t="s">
        <v>8219</v>
      </c>
      <c r="B3454">
        <v>37</v>
      </c>
    </row>
    <row r="3455" spans="1:2" hidden="1" x14ac:dyDescent="0.2">
      <c r="A3455" t="s">
        <v>8219</v>
      </c>
      <c r="B3455">
        <v>14</v>
      </c>
    </row>
    <row r="3456" spans="1:2" hidden="1" x14ac:dyDescent="0.2">
      <c r="A3456" t="s">
        <v>8219</v>
      </c>
      <c r="B3456">
        <v>21</v>
      </c>
    </row>
    <row r="3457" spans="1:2" hidden="1" x14ac:dyDescent="0.2">
      <c r="A3457" t="s">
        <v>8219</v>
      </c>
      <c r="B3457">
        <v>69</v>
      </c>
    </row>
    <row r="3458" spans="1:2" hidden="1" x14ac:dyDescent="0.2">
      <c r="A3458" t="s">
        <v>8219</v>
      </c>
      <c r="B3458">
        <v>16</v>
      </c>
    </row>
    <row r="3459" spans="1:2" hidden="1" x14ac:dyDescent="0.2">
      <c r="A3459" t="s">
        <v>8219</v>
      </c>
      <c r="B3459">
        <v>55</v>
      </c>
    </row>
    <row r="3460" spans="1:2" hidden="1" x14ac:dyDescent="0.2">
      <c r="A3460" t="s">
        <v>8219</v>
      </c>
      <c r="B3460">
        <v>27</v>
      </c>
    </row>
    <row r="3461" spans="1:2" hidden="1" x14ac:dyDescent="0.2">
      <c r="A3461" t="s">
        <v>8219</v>
      </c>
      <c r="B3461">
        <v>36</v>
      </c>
    </row>
    <row r="3462" spans="1:2" hidden="1" x14ac:dyDescent="0.2">
      <c r="A3462" t="s">
        <v>8219</v>
      </c>
      <c r="B3462">
        <v>19</v>
      </c>
    </row>
    <row r="3463" spans="1:2" hidden="1" x14ac:dyDescent="0.2">
      <c r="A3463" t="s">
        <v>8219</v>
      </c>
      <c r="B3463">
        <v>12</v>
      </c>
    </row>
    <row r="3464" spans="1:2" hidden="1" x14ac:dyDescent="0.2">
      <c r="A3464" t="s">
        <v>8219</v>
      </c>
      <c r="B3464">
        <v>17</v>
      </c>
    </row>
    <row r="3465" spans="1:2" hidden="1" x14ac:dyDescent="0.2">
      <c r="A3465" t="s">
        <v>8219</v>
      </c>
      <c r="B3465">
        <v>114</v>
      </c>
    </row>
    <row r="3466" spans="1:2" hidden="1" x14ac:dyDescent="0.2">
      <c r="A3466" t="s">
        <v>8219</v>
      </c>
      <c r="B3466">
        <v>93</v>
      </c>
    </row>
    <row r="3467" spans="1:2" hidden="1" x14ac:dyDescent="0.2">
      <c r="A3467" t="s">
        <v>8219</v>
      </c>
      <c r="B3467">
        <v>36</v>
      </c>
    </row>
    <row r="3468" spans="1:2" hidden="1" x14ac:dyDescent="0.2">
      <c r="A3468" t="s">
        <v>8219</v>
      </c>
      <c r="B3468">
        <v>61</v>
      </c>
    </row>
    <row r="3469" spans="1:2" hidden="1" x14ac:dyDescent="0.2">
      <c r="A3469" t="s">
        <v>8219</v>
      </c>
      <c r="B3469">
        <v>47</v>
      </c>
    </row>
    <row r="3470" spans="1:2" hidden="1" x14ac:dyDescent="0.2">
      <c r="A3470" t="s">
        <v>8219</v>
      </c>
      <c r="B3470">
        <v>17</v>
      </c>
    </row>
    <row r="3471" spans="1:2" hidden="1" x14ac:dyDescent="0.2">
      <c r="A3471" t="s">
        <v>8219</v>
      </c>
      <c r="B3471">
        <v>63</v>
      </c>
    </row>
    <row r="3472" spans="1:2" hidden="1" x14ac:dyDescent="0.2">
      <c r="A3472" t="s">
        <v>8219</v>
      </c>
      <c r="B3472">
        <v>9</v>
      </c>
    </row>
    <row r="3473" spans="1:2" hidden="1" x14ac:dyDescent="0.2">
      <c r="A3473" t="s">
        <v>8219</v>
      </c>
      <c r="B3473">
        <v>30</v>
      </c>
    </row>
    <row r="3474" spans="1:2" hidden="1" x14ac:dyDescent="0.2">
      <c r="A3474" t="s">
        <v>8219</v>
      </c>
      <c r="B3474">
        <v>23</v>
      </c>
    </row>
    <row r="3475" spans="1:2" hidden="1" x14ac:dyDescent="0.2">
      <c r="A3475" t="s">
        <v>8219</v>
      </c>
      <c r="B3475">
        <v>33</v>
      </c>
    </row>
    <row r="3476" spans="1:2" hidden="1" x14ac:dyDescent="0.2">
      <c r="A3476" t="s">
        <v>8219</v>
      </c>
      <c r="B3476">
        <v>39</v>
      </c>
    </row>
    <row r="3477" spans="1:2" hidden="1" x14ac:dyDescent="0.2">
      <c r="A3477" t="s">
        <v>8219</v>
      </c>
      <c r="B3477">
        <v>17</v>
      </c>
    </row>
    <row r="3478" spans="1:2" hidden="1" x14ac:dyDescent="0.2">
      <c r="A3478" t="s">
        <v>8219</v>
      </c>
      <c r="B3478">
        <v>6</v>
      </c>
    </row>
    <row r="3479" spans="1:2" hidden="1" x14ac:dyDescent="0.2">
      <c r="A3479" t="s">
        <v>8219</v>
      </c>
      <c r="B3479">
        <v>39</v>
      </c>
    </row>
    <row r="3480" spans="1:2" hidden="1" x14ac:dyDescent="0.2">
      <c r="A3480" t="s">
        <v>8219</v>
      </c>
      <c r="B3480">
        <v>57</v>
      </c>
    </row>
    <row r="3481" spans="1:2" hidden="1" x14ac:dyDescent="0.2">
      <c r="A3481" t="s">
        <v>8219</v>
      </c>
      <c r="B3481">
        <v>56</v>
      </c>
    </row>
    <row r="3482" spans="1:2" hidden="1" x14ac:dyDescent="0.2">
      <c r="A3482" t="s">
        <v>8219</v>
      </c>
      <c r="B3482">
        <v>13</v>
      </c>
    </row>
    <row r="3483" spans="1:2" hidden="1" x14ac:dyDescent="0.2">
      <c r="A3483" t="s">
        <v>8219</v>
      </c>
      <c r="B3483">
        <v>95</v>
      </c>
    </row>
    <row r="3484" spans="1:2" hidden="1" x14ac:dyDescent="0.2">
      <c r="A3484" t="s">
        <v>8219</v>
      </c>
      <c r="B3484">
        <v>80</v>
      </c>
    </row>
    <row r="3485" spans="1:2" hidden="1" x14ac:dyDescent="0.2">
      <c r="A3485" t="s">
        <v>8219</v>
      </c>
      <c r="B3485">
        <v>133</v>
      </c>
    </row>
    <row r="3486" spans="1:2" hidden="1" x14ac:dyDescent="0.2">
      <c r="A3486" t="s">
        <v>8219</v>
      </c>
      <c r="B3486">
        <v>44</v>
      </c>
    </row>
    <row r="3487" spans="1:2" hidden="1" x14ac:dyDescent="0.2">
      <c r="A3487" t="s">
        <v>8219</v>
      </c>
      <c r="B3487">
        <v>30</v>
      </c>
    </row>
    <row r="3488" spans="1:2" hidden="1" x14ac:dyDescent="0.2">
      <c r="A3488" t="s">
        <v>8219</v>
      </c>
      <c r="B3488">
        <v>56</v>
      </c>
    </row>
    <row r="3489" spans="1:2" hidden="1" x14ac:dyDescent="0.2">
      <c r="A3489" t="s">
        <v>8219</v>
      </c>
      <c r="B3489">
        <v>66</v>
      </c>
    </row>
    <row r="3490" spans="1:2" hidden="1" x14ac:dyDescent="0.2">
      <c r="A3490" t="s">
        <v>8219</v>
      </c>
      <c r="B3490">
        <v>29</v>
      </c>
    </row>
    <row r="3491" spans="1:2" hidden="1" x14ac:dyDescent="0.2">
      <c r="A3491" t="s">
        <v>8219</v>
      </c>
      <c r="B3491">
        <v>72</v>
      </c>
    </row>
    <row r="3492" spans="1:2" hidden="1" x14ac:dyDescent="0.2">
      <c r="A3492" t="s">
        <v>8219</v>
      </c>
      <c r="B3492">
        <v>27</v>
      </c>
    </row>
    <row r="3493" spans="1:2" hidden="1" x14ac:dyDescent="0.2">
      <c r="A3493" t="s">
        <v>8219</v>
      </c>
      <c r="B3493">
        <v>10</v>
      </c>
    </row>
    <row r="3494" spans="1:2" hidden="1" x14ac:dyDescent="0.2">
      <c r="A3494" t="s">
        <v>8219</v>
      </c>
      <c r="B3494">
        <v>35</v>
      </c>
    </row>
    <row r="3495" spans="1:2" hidden="1" x14ac:dyDescent="0.2">
      <c r="A3495" t="s">
        <v>8219</v>
      </c>
      <c r="B3495">
        <v>29</v>
      </c>
    </row>
    <row r="3496" spans="1:2" hidden="1" x14ac:dyDescent="0.2">
      <c r="A3496" t="s">
        <v>8219</v>
      </c>
      <c r="B3496">
        <v>13</v>
      </c>
    </row>
    <row r="3497" spans="1:2" hidden="1" x14ac:dyDescent="0.2">
      <c r="A3497" t="s">
        <v>8219</v>
      </c>
      <c r="B3497">
        <v>72</v>
      </c>
    </row>
    <row r="3498" spans="1:2" hidden="1" x14ac:dyDescent="0.2">
      <c r="A3498" t="s">
        <v>8219</v>
      </c>
      <c r="B3498">
        <v>78</v>
      </c>
    </row>
    <row r="3499" spans="1:2" hidden="1" x14ac:dyDescent="0.2">
      <c r="A3499" t="s">
        <v>8219</v>
      </c>
      <c r="B3499">
        <v>49</v>
      </c>
    </row>
    <row r="3500" spans="1:2" hidden="1" x14ac:dyDescent="0.2">
      <c r="A3500" t="s">
        <v>8219</v>
      </c>
      <c r="B3500">
        <v>42</v>
      </c>
    </row>
    <row r="3501" spans="1:2" hidden="1" x14ac:dyDescent="0.2">
      <c r="A3501" t="s">
        <v>8219</v>
      </c>
      <c r="B3501">
        <v>35</v>
      </c>
    </row>
    <row r="3502" spans="1:2" hidden="1" x14ac:dyDescent="0.2">
      <c r="A3502" t="s">
        <v>8219</v>
      </c>
      <c r="B3502">
        <v>42</v>
      </c>
    </row>
    <row r="3503" spans="1:2" hidden="1" x14ac:dyDescent="0.2">
      <c r="A3503" t="s">
        <v>8219</v>
      </c>
      <c r="B3503">
        <v>42</v>
      </c>
    </row>
    <row r="3504" spans="1:2" hidden="1" x14ac:dyDescent="0.2">
      <c r="A3504" t="s">
        <v>8219</v>
      </c>
      <c r="B3504">
        <v>31</v>
      </c>
    </row>
    <row r="3505" spans="1:2" hidden="1" x14ac:dyDescent="0.2">
      <c r="A3505" t="s">
        <v>8219</v>
      </c>
      <c r="B3505">
        <v>38</v>
      </c>
    </row>
    <row r="3506" spans="1:2" hidden="1" x14ac:dyDescent="0.2">
      <c r="A3506" t="s">
        <v>8219</v>
      </c>
      <c r="B3506">
        <v>8</v>
      </c>
    </row>
    <row r="3507" spans="1:2" hidden="1" x14ac:dyDescent="0.2">
      <c r="A3507" t="s">
        <v>8219</v>
      </c>
      <c r="B3507">
        <v>39</v>
      </c>
    </row>
    <row r="3508" spans="1:2" hidden="1" x14ac:dyDescent="0.2">
      <c r="A3508" t="s">
        <v>8219</v>
      </c>
      <c r="B3508">
        <v>29</v>
      </c>
    </row>
    <row r="3509" spans="1:2" hidden="1" x14ac:dyDescent="0.2">
      <c r="A3509" t="s">
        <v>8219</v>
      </c>
      <c r="B3509">
        <v>72</v>
      </c>
    </row>
    <row r="3510" spans="1:2" hidden="1" x14ac:dyDescent="0.2">
      <c r="A3510" t="s">
        <v>8219</v>
      </c>
      <c r="B3510">
        <v>15</v>
      </c>
    </row>
    <row r="3511" spans="1:2" hidden="1" x14ac:dyDescent="0.2">
      <c r="A3511" t="s">
        <v>8219</v>
      </c>
      <c r="B3511">
        <v>33</v>
      </c>
    </row>
    <row r="3512" spans="1:2" hidden="1" x14ac:dyDescent="0.2">
      <c r="A3512" t="s">
        <v>8219</v>
      </c>
      <c r="B3512">
        <v>15</v>
      </c>
    </row>
    <row r="3513" spans="1:2" hidden="1" x14ac:dyDescent="0.2">
      <c r="A3513" t="s">
        <v>8219</v>
      </c>
      <c r="B3513">
        <v>19</v>
      </c>
    </row>
    <row r="3514" spans="1:2" hidden="1" x14ac:dyDescent="0.2">
      <c r="A3514" t="s">
        <v>8219</v>
      </c>
      <c r="B3514">
        <v>17</v>
      </c>
    </row>
    <row r="3515" spans="1:2" hidden="1" x14ac:dyDescent="0.2">
      <c r="A3515" t="s">
        <v>8219</v>
      </c>
      <c r="B3515">
        <v>44</v>
      </c>
    </row>
    <row r="3516" spans="1:2" hidden="1" x14ac:dyDescent="0.2">
      <c r="A3516" t="s">
        <v>8219</v>
      </c>
      <c r="B3516">
        <v>10</v>
      </c>
    </row>
    <row r="3517" spans="1:2" hidden="1" x14ac:dyDescent="0.2">
      <c r="A3517" t="s">
        <v>8219</v>
      </c>
      <c r="B3517">
        <v>46</v>
      </c>
    </row>
    <row r="3518" spans="1:2" hidden="1" x14ac:dyDescent="0.2">
      <c r="A3518" t="s">
        <v>8219</v>
      </c>
      <c r="B3518">
        <v>11</v>
      </c>
    </row>
    <row r="3519" spans="1:2" hidden="1" x14ac:dyDescent="0.2">
      <c r="A3519" t="s">
        <v>8219</v>
      </c>
      <c r="B3519">
        <v>13</v>
      </c>
    </row>
    <row r="3520" spans="1:2" hidden="1" x14ac:dyDescent="0.2">
      <c r="A3520" t="s">
        <v>8219</v>
      </c>
      <c r="B3520">
        <v>33</v>
      </c>
    </row>
    <row r="3521" spans="1:2" hidden="1" x14ac:dyDescent="0.2">
      <c r="A3521" t="s">
        <v>8219</v>
      </c>
      <c r="B3521">
        <v>28</v>
      </c>
    </row>
    <row r="3522" spans="1:2" hidden="1" x14ac:dyDescent="0.2">
      <c r="A3522" t="s">
        <v>8219</v>
      </c>
      <c r="B3522">
        <v>21</v>
      </c>
    </row>
    <row r="3523" spans="1:2" hidden="1" x14ac:dyDescent="0.2">
      <c r="A3523" t="s">
        <v>8219</v>
      </c>
      <c r="B3523">
        <v>13</v>
      </c>
    </row>
    <row r="3524" spans="1:2" hidden="1" x14ac:dyDescent="0.2">
      <c r="A3524" t="s">
        <v>8219</v>
      </c>
      <c r="B3524">
        <v>34</v>
      </c>
    </row>
    <row r="3525" spans="1:2" hidden="1" x14ac:dyDescent="0.2">
      <c r="A3525" t="s">
        <v>8219</v>
      </c>
      <c r="B3525">
        <v>80</v>
      </c>
    </row>
    <row r="3526" spans="1:2" hidden="1" x14ac:dyDescent="0.2">
      <c r="A3526" t="s">
        <v>8219</v>
      </c>
      <c r="B3526">
        <v>74</v>
      </c>
    </row>
    <row r="3527" spans="1:2" hidden="1" x14ac:dyDescent="0.2">
      <c r="A3527" t="s">
        <v>8219</v>
      </c>
      <c r="B3527">
        <v>7</v>
      </c>
    </row>
    <row r="3528" spans="1:2" hidden="1" x14ac:dyDescent="0.2">
      <c r="A3528" t="s">
        <v>8219</v>
      </c>
      <c r="B3528">
        <v>34</v>
      </c>
    </row>
    <row r="3529" spans="1:2" hidden="1" x14ac:dyDescent="0.2">
      <c r="A3529" t="s">
        <v>8219</v>
      </c>
      <c r="B3529">
        <v>86</v>
      </c>
    </row>
    <row r="3530" spans="1:2" hidden="1" x14ac:dyDescent="0.2">
      <c r="A3530" t="s">
        <v>8219</v>
      </c>
      <c r="B3530">
        <v>37</v>
      </c>
    </row>
    <row r="3531" spans="1:2" hidden="1" x14ac:dyDescent="0.2">
      <c r="A3531" t="s">
        <v>8219</v>
      </c>
      <c r="B3531">
        <v>18</v>
      </c>
    </row>
    <row r="3532" spans="1:2" hidden="1" x14ac:dyDescent="0.2">
      <c r="A3532" t="s">
        <v>8219</v>
      </c>
      <c r="B3532">
        <v>22</v>
      </c>
    </row>
    <row r="3533" spans="1:2" hidden="1" x14ac:dyDescent="0.2">
      <c r="A3533" t="s">
        <v>8219</v>
      </c>
      <c r="B3533">
        <v>26</v>
      </c>
    </row>
    <row r="3534" spans="1:2" hidden="1" x14ac:dyDescent="0.2">
      <c r="A3534" t="s">
        <v>8219</v>
      </c>
      <c r="B3534">
        <v>27</v>
      </c>
    </row>
    <row r="3535" spans="1:2" hidden="1" x14ac:dyDescent="0.2">
      <c r="A3535" t="s">
        <v>8219</v>
      </c>
      <c r="B3535">
        <v>8</v>
      </c>
    </row>
    <row r="3536" spans="1:2" hidden="1" x14ac:dyDescent="0.2">
      <c r="A3536" t="s">
        <v>8219</v>
      </c>
      <c r="B3536">
        <v>204</v>
      </c>
    </row>
    <row r="3537" spans="1:2" hidden="1" x14ac:dyDescent="0.2">
      <c r="A3537" t="s">
        <v>8219</v>
      </c>
      <c r="B3537">
        <v>46</v>
      </c>
    </row>
    <row r="3538" spans="1:2" hidden="1" x14ac:dyDescent="0.2">
      <c r="A3538" t="s">
        <v>8219</v>
      </c>
      <c r="B3538">
        <v>17</v>
      </c>
    </row>
    <row r="3539" spans="1:2" hidden="1" x14ac:dyDescent="0.2">
      <c r="A3539" t="s">
        <v>8219</v>
      </c>
      <c r="B3539">
        <v>28</v>
      </c>
    </row>
    <row r="3540" spans="1:2" hidden="1" x14ac:dyDescent="0.2">
      <c r="A3540" t="s">
        <v>8219</v>
      </c>
      <c r="B3540">
        <v>83</v>
      </c>
    </row>
    <row r="3541" spans="1:2" hidden="1" x14ac:dyDescent="0.2">
      <c r="A3541" t="s">
        <v>8219</v>
      </c>
      <c r="B3541">
        <v>13</v>
      </c>
    </row>
    <row r="3542" spans="1:2" hidden="1" x14ac:dyDescent="0.2">
      <c r="A3542" t="s">
        <v>8219</v>
      </c>
      <c r="B3542">
        <v>8</v>
      </c>
    </row>
    <row r="3543" spans="1:2" hidden="1" x14ac:dyDescent="0.2">
      <c r="A3543" t="s">
        <v>8219</v>
      </c>
      <c r="B3543">
        <v>32</v>
      </c>
    </row>
    <row r="3544" spans="1:2" hidden="1" x14ac:dyDescent="0.2">
      <c r="A3544" t="s">
        <v>8219</v>
      </c>
      <c r="B3544">
        <v>85</v>
      </c>
    </row>
    <row r="3545" spans="1:2" hidden="1" x14ac:dyDescent="0.2">
      <c r="A3545" t="s">
        <v>8219</v>
      </c>
      <c r="B3545">
        <v>29</v>
      </c>
    </row>
    <row r="3546" spans="1:2" hidden="1" x14ac:dyDescent="0.2">
      <c r="A3546" t="s">
        <v>8219</v>
      </c>
      <c r="B3546">
        <v>24</v>
      </c>
    </row>
    <row r="3547" spans="1:2" hidden="1" x14ac:dyDescent="0.2">
      <c r="A3547" t="s">
        <v>8219</v>
      </c>
      <c r="B3547">
        <v>8</v>
      </c>
    </row>
    <row r="3548" spans="1:2" hidden="1" x14ac:dyDescent="0.2">
      <c r="A3548" t="s">
        <v>8219</v>
      </c>
      <c r="B3548">
        <v>19</v>
      </c>
    </row>
    <row r="3549" spans="1:2" hidden="1" x14ac:dyDescent="0.2">
      <c r="A3549" t="s">
        <v>8219</v>
      </c>
      <c r="B3549">
        <v>336</v>
      </c>
    </row>
    <row r="3550" spans="1:2" hidden="1" x14ac:dyDescent="0.2">
      <c r="A3550" t="s">
        <v>8219</v>
      </c>
      <c r="B3550">
        <v>13</v>
      </c>
    </row>
    <row r="3551" spans="1:2" hidden="1" x14ac:dyDescent="0.2">
      <c r="A3551" t="s">
        <v>8219</v>
      </c>
      <c r="B3551">
        <v>42</v>
      </c>
    </row>
    <row r="3552" spans="1:2" hidden="1" x14ac:dyDescent="0.2">
      <c r="A3552" t="s">
        <v>8219</v>
      </c>
      <c r="B3552">
        <v>64</v>
      </c>
    </row>
    <row r="3553" spans="1:2" hidden="1" x14ac:dyDescent="0.2">
      <c r="A3553" t="s">
        <v>8219</v>
      </c>
      <c r="B3553">
        <v>25</v>
      </c>
    </row>
    <row r="3554" spans="1:2" hidden="1" x14ac:dyDescent="0.2">
      <c r="A3554" t="s">
        <v>8219</v>
      </c>
      <c r="B3554">
        <v>20</v>
      </c>
    </row>
    <row r="3555" spans="1:2" hidden="1" x14ac:dyDescent="0.2">
      <c r="A3555" t="s">
        <v>8219</v>
      </c>
      <c r="B3555">
        <v>104</v>
      </c>
    </row>
    <row r="3556" spans="1:2" hidden="1" x14ac:dyDescent="0.2">
      <c r="A3556" t="s">
        <v>8219</v>
      </c>
      <c r="B3556">
        <v>53</v>
      </c>
    </row>
    <row r="3557" spans="1:2" hidden="1" x14ac:dyDescent="0.2">
      <c r="A3557" t="s">
        <v>8219</v>
      </c>
      <c r="B3557">
        <v>14</v>
      </c>
    </row>
    <row r="3558" spans="1:2" hidden="1" x14ac:dyDescent="0.2">
      <c r="A3558" t="s">
        <v>8219</v>
      </c>
      <c r="B3558">
        <v>20</v>
      </c>
    </row>
    <row r="3559" spans="1:2" hidden="1" x14ac:dyDescent="0.2">
      <c r="A3559" t="s">
        <v>8219</v>
      </c>
      <c r="B3559">
        <v>558</v>
      </c>
    </row>
    <row r="3560" spans="1:2" hidden="1" x14ac:dyDescent="0.2">
      <c r="A3560" t="s">
        <v>8219</v>
      </c>
      <c r="B3560">
        <v>22</v>
      </c>
    </row>
    <row r="3561" spans="1:2" hidden="1" x14ac:dyDescent="0.2">
      <c r="A3561" t="s">
        <v>8219</v>
      </c>
      <c r="B3561">
        <v>24</v>
      </c>
    </row>
    <row r="3562" spans="1:2" hidden="1" x14ac:dyDescent="0.2">
      <c r="A3562" t="s">
        <v>8219</v>
      </c>
      <c r="B3562">
        <v>74</v>
      </c>
    </row>
    <row r="3563" spans="1:2" hidden="1" x14ac:dyDescent="0.2">
      <c r="A3563" t="s">
        <v>8219</v>
      </c>
      <c r="B3563">
        <v>54</v>
      </c>
    </row>
    <row r="3564" spans="1:2" hidden="1" x14ac:dyDescent="0.2">
      <c r="A3564" t="s">
        <v>8219</v>
      </c>
      <c r="B3564">
        <v>31</v>
      </c>
    </row>
    <row r="3565" spans="1:2" hidden="1" x14ac:dyDescent="0.2">
      <c r="A3565" t="s">
        <v>8219</v>
      </c>
      <c r="B3565">
        <v>25</v>
      </c>
    </row>
    <row r="3566" spans="1:2" hidden="1" x14ac:dyDescent="0.2">
      <c r="A3566" t="s">
        <v>8219</v>
      </c>
      <c r="B3566">
        <v>17</v>
      </c>
    </row>
    <row r="3567" spans="1:2" hidden="1" x14ac:dyDescent="0.2">
      <c r="A3567" t="s">
        <v>8219</v>
      </c>
      <c r="B3567">
        <v>12</v>
      </c>
    </row>
    <row r="3568" spans="1:2" hidden="1" x14ac:dyDescent="0.2">
      <c r="A3568" t="s">
        <v>8219</v>
      </c>
      <c r="B3568">
        <v>38</v>
      </c>
    </row>
    <row r="3569" spans="1:2" hidden="1" x14ac:dyDescent="0.2">
      <c r="A3569" t="s">
        <v>8219</v>
      </c>
      <c r="B3569">
        <v>41</v>
      </c>
    </row>
    <row r="3570" spans="1:2" hidden="1" x14ac:dyDescent="0.2">
      <c r="A3570" t="s">
        <v>8219</v>
      </c>
      <c r="B3570">
        <v>19</v>
      </c>
    </row>
    <row r="3571" spans="1:2" hidden="1" x14ac:dyDescent="0.2">
      <c r="A3571" t="s">
        <v>8219</v>
      </c>
      <c r="B3571">
        <v>41</v>
      </c>
    </row>
    <row r="3572" spans="1:2" hidden="1" x14ac:dyDescent="0.2">
      <c r="A3572" t="s">
        <v>8219</v>
      </c>
      <c r="B3572">
        <v>26</v>
      </c>
    </row>
    <row r="3573" spans="1:2" hidden="1" x14ac:dyDescent="0.2">
      <c r="A3573" t="s">
        <v>8219</v>
      </c>
      <c r="B3573">
        <v>25</v>
      </c>
    </row>
    <row r="3574" spans="1:2" hidden="1" x14ac:dyDescent="0.2">
      <c r="A3574" t="s">
        <v>8219</v>
      </c>
      <c r="B3574">
        <v>9</v>
      </c>
    </row>
    <row r="3575" spans="1:2" hidden="1" x14ac:dyDescent="0.2">
      <c r="A3575" t="s">
        <v>8219</v>
      </c>
      <c r="B3575">
        <v>78</v>
      </c>
    </row>
    <row r="3576" spans="1:2" hidden="1" x14ac:dyDescent="0.2">
      <c r="A3576" t="s">
        <v>8219</v>
      </c>
      <c r="B3576">
        <v>45</v>
      </c>
    </row>
    <row r="3577" spans="1:2" hidden="1" x14ac:dyDescent="0.2">
      <c r="A3577" t="s">
        <v>8219</v>
      </c>
      <c r="B3577">
        <v>102</v>
      </c>
    </row>
    <row r="3578" spans="1:2" hidden="1" x14ac:dyDescent="0.2">
      <c r="A3578" t="s">
        <v>8219</v>
      </c>
      <c r="B3578">
        <v>5</v>
      </c>
    </row>
    <row r="3579" spans="1:2" hidden="1" x14ac:dyDescent="0.2">
      <c r="A3579" t="s">
        <v>8219</v>
      </c>
      <c r="B3579">
        <v>27</v>
      </c>
    </row>
    <row r="3580" spans="1:2" hidden="1" x14ac:dyDescent="0.2">
      <c r="A3580" t="s">
        <v>8219</v>
      </c>
      <c r="B3580">
        <v>37</v>
      </c>
    </row>
    <row r="3581" spans="1:2" hidden="1" x14ac:dyDescent="0.2">
      <c r="A3581" t="s">
        <v>8219</v>
      </c>
      <c r="B3581">
        <v>14</v>
      </c>
    </row>
    <row r="3582" spans="1:2" hidden="1" x14ac:dyDescent="0.2">
      <c r="A3582" t="s">
        <v>8219</v>
      </c>
      <c r="B3582">
        <v>27</v>
      </c>
    </row>
    <row r="3583" spans="1:2" hidden="1" x14ac:dyDescent="0.2">
      <c r="A3583" t="s">
        <v>8219</v>
      </c>
      <c r="B3583">
        <v>45</v>
      </c>
    </row>
    <row r="3584" spans="1:2" hidden="1" x14ac:dyDescent="0.2">
      <c r="A3584" t="s">
        <v>8219</v>
      </c>
      <c r="B3584">
        <v>49</v>
      </c>
    </row>
    <row r="3585" spans="1:2" hidden="1" x14ac:dyDescent="0.2">
      <c r="A3585" t="s">
        <v>8219</v>
      </c>
      <c r="B3585">
        <v>24</v>
      </c>
    </row>
    <row r="3586" spans="1:2" hidden="1" x14ac:dyDescent="0.2">
      <c r="A3586" t="s">
        <v>8219</v>
      </c>
      <c r="B3586">
        <v>112</v>
      </c>
    </row>
    <row r="3587" spans="1:2" hidden="1" x14ac:dyDescent="0.2">
      <c r="A3587" t="s">
        <v>8219</v>
      </c>
      <c r="B3587">
        <v>23</v>
      </c>
    </row>
    <row r="3588" spans="1:2" hidden="1" x14ac:dyDescent="0.2">
      <c r="A3588" t="s">
        <v>8219</v>
      </c>
      <c r="B3588">
        <v>54</v>
      </c>
    </row>
    <row r="3589" spans="1:2" hidden="1" x14ac:dyDescent="0.2">
      <c r="A3589" t="s">
        <v>8219</v>
      </c>
      <c r="B3589">
        <v>28</v>
      </c>
    </row>
    <row r="3590" spans="1:2" hidden="1" x14ac:dyDescent="0.2">
      <c r="A3590" t="s">
        <v>8219</v>
      </c>
      <c r="B3590">
        <v>11</v>
      </c>
    </row>
    <row r="3591" spans="1:2" hidden="1" x14ac:dyDescent="0.2">
      <c r="A3591" t="s">
        <v>8219</v>
      </c>
      <c r="B3591">
        <v>62</v>
      </c>
    </row>
    <row r="3592" spans="1:2" hidden="1" x14ac:dyDescent="0.2">
      <c r="A3592" t="s">
        <v>8219</v>
      </c>
      <c r="B3592">
        <v>73</v>
      </c>
    </row>
    <row r="3593" spans="1:2" hidden="1" x14ac:dyDescent="0.2">
      <c r="A3593" t="s">
        <v>8219</v>
      </c>
      <c r="B3593">
        <v>18</v>
      </c>
    </row>
    <row r="3594" spans="1:2" hidden="1" x14ac:dyDescent="0.2">
      <c r="A3594" t="s">
        <v>8219</v>
      </c>
      <c r="B3594">
        <v>35</v>
      </c>
    </row>
    <row r="3595" spans="1:2" hidden="1" x14ac:dyDescent="0.2">
      <c r="A3595" t="s">
        <v>8219</v>
      </c>
      <c r="B3595">
        <v>43</v>
      </c>
    </row>
    <row r="3596" spans="1:2" hidden="1" x14ac:dyDescent="0.2">
      <c r="A3596" t="s">
        <v>8219</v>
      </c>
      <c r="B3596">
        <v>36</v>
      </c>
    </row>
    <row r="3597" spans="1:2" hidden="1" x14ac:dyDescent="0.2">
      <c r="A3597" t="s">
        <v>8219</v>
      </c>
      <c r="B3597">
        <v>62</v>
      </c>
    </row>
    <row r="3598" spans="1:2" hidden="1" x14ac:dyDescent="0.2">
      <c r="A3598" t="s">
        <v>8219</v>
      </c>
      <c r="B3598">
        <v>15</v>
      </c>
    </row>
    <row r="3599" spans="1:2" hidden="1" x14ac:dyDescent="0.2">
      <c r="A3599" t="s">
        <v>8219</v>
      </c>
      <c r="B3599">
        <v>33</v>
      </c>
    </row>
    <row r="3600" spans="1:2" hidden="1" x14ac:dyDescent="0.2">
      <c r="A3600" t="s">
        <v>8219</v>
      </c>
      <c r="B3600">
        <v>27</v>
      </c>
    </row>
    <row r="3601" spans="1:2" hidden="1" x14ac:dyDescent="0.2">
      <c r="A3601" t="s">
        <v>8219</v>
      </c>
      <c r="B3601">
        <v>17</v>
      </c>
    </row>
    <row r="3602" spans="1:2" hidden="1" x14ac:dyDescent="0.2">
      <c r="A3602" t="s">
        <v>8219</v>
      </c>
      <c r="B3602">
        <v>4</v>
      </c>
    </row>
    <row r="3603" spans="1:2" hidden="1" x14ac:dyDescent="0.2">
      <c r="A3603" t="s">
        <v>8219</v>
      </c>
      <c r="B3603">
        <v>53</v>
      </c>
    </row>
    <row r="3604" spans="1:2" hidden="1" x14ac:dyDescent="0.2">
      <c r="A3604" t="s">
        <v>8219</v>
      </c>
      <c r="B3604">
        <v>49</v>
      </c>
    </row>
    <row r="3605" spans="1:2" hidden="1" x14ac:dyDescent="0.2">
      <c r="A3605" t="s">
        <v>8219</v>
      </c>
      <c r="B3605">
        <v>57</v>
      </c>
    </row>
    <row r="3606" spans="1:2" hidden="1" x14ac:dyDescent="0.2">
      <c r="A3606" t="s">
        <v>8219</v>
      </c>
      <c r="B3606">
        <v>69</v>
      </c>
    </row>
    <row r="3607" spans="1:2" hidden="1" x14ac:dyDescent="0.2">
      <c r="A3607" t="s">
        <v>8219</v>
      </c>
      <c r="B3607">
        <v>15</v>
      </c>
    </row>
    <row r="3608" spans="1:2" hidden="1" x14ac:dyDescent="0.2">
      <c r="A3608" t="s">
        <v>8219</v>
      </c>
      <c r="B3608">
        <v>64</v>
      </c>
    </row>
    <row r="3609" spans="1:2" hidden="1" x14ac:dyDescent="0.2">
      <c r="A3609" t="s">
        <v>8219</v>
      </c>
      <c r="B3609">
        <v>20</v>
      </c>
    </row>
    <row r="3610" spans="1:2" hidden="1" x14ac:dyDescent="0.2">
      <c r="A3610" t="s">
        <v>8219</v>
      </c>
      <c r="B3610">
        <v>27</v>
      </c>
    </row>
    <row r="3611" spans="1:2" hidden="1" x14ac:dyDescent="0.2">
      <c r="A3611" t="s">
        <v>8219</v>
      </c>
      <c r="B3611">
        <v>21</v>
      </c>
    </row>
    <row r="3612" spans="1:2" hidden="1" x14ac:dyDescent="0.2">
      <c r="A3612" t="s">
        <v>8219</v>
      </c>
      <c r="B3612">
        <v>31</v>
      </c>
    </row>
    <row r="3613" spans="1:2" hidden="1" x14ac:dyDescent="0.2">
      <c r="A3613" t="s">
        <v>8219</v>
      </c>
      <c r="B3613">
        <v>51</v>
      </c>
    </row>
    <row r="3614" spans="1:2" hidden="1" x14ac:dyDescent="0.2">
      <c r="A3614" t="s">
        <v>8219</v>
      </c>
      <c r="B3614">
        <v>57</v>
      </c>
    </row>
    <row r="3615" spans="1:2" hidden="1" x14ac:dyDescent="0.2">
      <c r="A3615" t="s">
        <v>8219</v>
      </c>
      <c r="B3615">
        <v>20</v>
      </c>
    </row>
    <row r="3616" spans="1:2" hidden="1" x14ac:dyDescent="0.2">
      <c r="A3616" t="s">
        <v>8219</v>
      </c>
      <c r="B3616">
        <v>71</v>
      </c>
    </row>
    <row r="3617" spans="1:2" hidden="1" x14ac:dyDescent="0.2">
      <c r="A3617" t="s">
        <v>8219</v>
      </c>
      <c r="B3617">
        <v>72</v>
      </c>
    </row>
    <row r="3618" spans="1:2" hidden="1" x14ac:dyDescent="0.2">
      <c r="A3618" t="s">
        <v>8219</v>
      </c>
      <c r="B3618">
        <v>45</v>
      </c>
    </row>
    <row r="3619" spans="1:2" hidden="1" x14ac:dyDescent="0.2">
      <c r="A3619" t="s">
        <v>8219</v>
      </c>
      <c r="B3619">
        <v>51</v>
      </c>
    </row>
    <row r="3620" spans="1:2" hidden="1" x14ac:dyDescent="0.2">
      <c r="A3620" t="s">
        <v>8219</v>
      </c>
      <c r="B3620">
        <v>56</v>
      </c>
    </row>
    <row r="3621" spans="1:2" hidden="1" x14ac:dyDescent="0.2">
      <c r="A3621" t="s">
        <v>8219</v>
      </c>
      <c r="B3621">
        <v>17</v>
      </c>
    </row>
    <row r="3622" spans="1:2" hidden="1" x14ac:dyDescent="0.2">
      <c r="A3622" t="s">
        <v>8219</v>
      </c>
      <c r="B3622">
        <v>197</v>
      </c>
    </row>
    <row r="3623" spans="1:2" hidden="1" x14ac:dyDescent="0.2">
      <c r="A3623" t="s">
        <v>8219</v>
      </c>
      <c r="B3623">
        <v>70</v>
      </c>
    </row>
    <row r="3624" spans="1:2" hidden="1" x14ac:dyDescent="0.2">
      <c r="A3624" t="s">
        <v>8219</v>
      </c>
      <c r="B3624">
        <v>21</v>
      </c>
    </row>
    <row r="3625" spans="1:2" hidden="1" x14ac:dyDescent="0.2">
      <c r="A3625" t="s">
        <v>8219</v>
      </c>
      <c r="B3625">
        <v>34</v>
      </c>
    </row>
    <row r="3626" spans="1:2" hidden="1" x14ac:dyDescent="0.2">
      <c r="A3626" t="s">
        <v>8219</v>
      </c>
      <c r="B3626">
        <v>39</v>
      </c>
    </row>
    <row r="3627" spans="1:2" hidden="1" x14ac:dyDescent="0.2">
      <c r="A3627" t="s">
        <v>8219</v>
      </c>
      <c r="B3627">
        <v>78</v>
      </c>
    </row>
    <row r="3628" spans="1:2" hidden="1" x14ac:dyDescent="0.2">
      <c r="A3628" t="s">
        <v>8219</v>
      </c>
      <c r="B3628">
        <v>48</v>
      </c>
    </row>
    <row r="3629" spans="1:2" hidden="1" x14ac:dyDescent="0.2">
      <c r="A3629" t="s">
        <v>8219</v>
      </c>
      <c r="B3629">
        <v>29</v>
      </c>
    </row>
    <row r="3630" spans="1:2" x14ac:dyDescent="0.2">
      <c r="A3630" t="s">
        <v>8221</v>
      </c>
      <c r="B3630">
        <v>1</v>
      </c>
    </row>
    <row r="3631" spans="1:2" x14ac:dyDescent="0.2">
      <c r="A3631" t="s">
        <v>8221</v>
      </c>
      <c r="B3631">
        <v>1</v>
      </c>
    </row>
    <row r="3632" spans="1:2" x14ac:dyDescent="0.2">
      <c r="A3632" t="s">
        <v>8221</v>
      </c>
      <c r="B3632">
        <v>1</v>
      </c>
    </row>
    <row r="3633" spans="1:2" x14ac:dyDescent="0.2">
      <c r="A3633" t="s">
        <v>8221</v>
      </c>
      <c r="B3633">
        <v>1</v>
      </c>
    </row>
    <row r="3634" spans="1:2" x14ac:dyDescent="0.2">
      <c r="A3634" t="s">
        <v>8221</v>
      </c>
      <c r="B3634">
        <v>1</v>
      </c>
    </row>
    <row r="3635" spans="1:2" x14ac:dyDescent="0.2">
      <c r="A3635" t="s">
        <v>8221</v>
      </c>
      <c r="B3635">
        <v>1</v>
      </c>
    </row>
    <row r="3636" spans="1:2" x14ac:dyDescent="0.2">
      <c r="A3636" t="s">
        <v>8221</v>
      </c>
      <c r="B3636">
        <v>1</v>
      </c>
    </row>
    <row r="3637" spans="1:2" x14ac:dyDescent="0.2">
      <c r="A3637" t="s">
        <v>8221</v>
      </c>
      <c r="B3637">
        <v>1</v>
      </c>
    </row>
    <row r="3638" spans="1:2" x14ac:dyDescent="0.2">
      <c r="A3638" t="s">
        <v>8221</v>
      </c>
      <c r="B3638">
        <v>1</v>
      </c>
    </row>
    <row r="3639" spans="1:2" x14ac:dyDescent="0.2">
      <c r="A3639" t="s">
        <v>8221</v>
      </c>
      <c r="B3639">
        <v>1</v>
      </c>
    </row>
    <row r="3640" spans="1:2" x14ac:dyDescent="0.2">
      <c r="A3640" t="s">
        <v>8221</v>
      </c>
      <c r="B3640">
        <v>1</v>
      </c>
    </row>
    <row r="3641" spans="1:2" x14ac:dyDescent="0.2">
      <c r="A3641" t="s">
        <v>8221</v>
      </c>
      <c r="B3641">
        <v>1</v>
      </c>
    </row>
    <row r="3642" spans="1:2" x14ac:dyDescent="0.2">
      <c r="A3642" t="s">
        <v>8221</v>
      </c>
      <c r="B3642">
        <v>1</v>
      </c>
    </row>
    <row r="3643" spans="1:2" x14ac:dyDescent="0.2">
      <c r="A3643" t="s">
        <v>8221</v>
      </c>
      <c r="B3643">
        <v>1</v>
      </c>
    </row>
    <row r="3644" spans="1:2" x14ac:dyDescent="0.2">
      <c r="A3644" t="s">
        <v>8221</v>
      </c>
      <c r="B3644">
        <v>1</v>
      </c>
    </row>
    <row r="3645" spans="1:2" x14ac:dyDescent="0.2">
      <c r="A3645" t="s">
        <v>8221</v>
      </c>
      <c r="B3645">
        <v>1</v>
      </c>
    </row>
    <row r="3646" spans="1:2" x14ac:dyDescent="0.2">
      <c r="A3646" t="s">
        <v>8221</v>
      </c>
      <c r="B3646">
        <v>1</v>
      </c>
    </row>
    <row r="3647" spans="1:2" x14ac:dyDescent="0.2">
      <c r="A3647" t="s">
        <v>8221</v>
      </c>
      <c r="B3647">
        <v>1</v>
      </c>
    </row>
    <row r="3648" spans="1:2" x14ac:dyDescent="0.2">
      <c r="A3648" t="s">
        <v>8221</v>
      </c>
      <c r="B3648">
        <v>1</v>
      </c>
    </row>
    <row r="3649" spans="1:2" x14ac:dyDescent="0.2">
      <c r="A3649" t="s">
        <v>8221</v>
      </c>
      <c r="B3649">
        <v>1</v>
      </c>
    </row>
    <row r="3650" spans="1:2" hidden="1" x14ac:dyDescent="0.2">
      <c r="A3650" t="s">
        <v>8219</v>
      </c>
      <c r="B3650">
        <v>73</v>
      </c>
    </row>
    <row r="3651" spans="1:2" hidden="1" x14ac:dyDescent="0.2">
      <c r="A3651" t="s">
        <v>8219</v>
      </c>
      <c r="B3651">
        <v>8</v>
      </c>
    </row>
    <row r="3652" spans="1:2" hidden="1" x14ac:dyDescent="0.2">
      <c r="A3652" t="s">
        <v>8219</v>
      </c>
      <c r="B3652">
        <v>17</v>
      </c>
    </row>
    <row r="3653" spans="1:2" hidden="1" x14ac:dyDescent="0.2">
      <c r="A3653" t="s">
        <v>8219</v>
      </c>
      <c r="B3653">
        <v>9</v>
      </c>
    </row>
    <row r="3654" spans="1:2" hidden="1" x14ac:dyDescent="0.2">
      <c r="A3654" t="s">
        <v>8219</v>
      </c>
      <c r="B3654">
        <v>17</v>
      </c>
    </row>
    <row r="3655" spans="1:2" hidden="1" x14ac:dyDescent="0.2">
      <c r="A3655" t="s">
        <v>8219</v>
      </c>
      <c r="B3655">
        <v>33</v>
      </c>
    </row>
    <row r="3656" spans="1:2" hidden="1" x14ac:dyDescent="0.2">
      <c r="A3656" t="s">
        <v>8219</v>
      </c>
      <c r="B3656">
        <v>38</v>
      </c>
    </row>
    <row r="3657" spans="1:2" hidden="1" x14ac:dyDescent="0.2">
      <c r="A3657" t="s">
        <v>8219</v>
      </c>
      <c r="B3657">
        <v>79</v>
      </c>
    </row>
    <row r="3658" spans="1:2" hidden="1" x14ac:dyDescent="0.2">
      <c r="A3658" t="s">
        <v>8219</v>
      </c>
      <c r="B3658">
        <v>46</v>
      </c>
    </row>
    <row r="3659" spans="1:2" hidden="1" x14ac:dyDescent="0.2">
      <c r="A3659" t="s">
        <v>8219</v>
      </c>
      <c r="B3659">
        <v>20</v>
      </c>
    </row>
    <row r="3660" spans="1:2" hidden="1" x14ac:dyDescent="0.2">
      <c r="A3660" t="s">
        <v>8219</v>
      </c>
      <c r="B3660">
        <v>20</v>
      </c>
    </row>
    <row r="3661" spans="1:2" hidden="1" x14ac:dyDescent="0.2">
      <c r="A3661" t="s">
        <v>8219</v>
      </c>
      <c r="B3661">
        <v>13</v>
      </c>
    </row>
    <row r="3662" spans="1:2" hidden="1" x14ac:dyDescent="0.2">
      <c r="A3662" t="s">
        <v>8219</v>
      </c>
      <c r="B3662">
        <v>22</v>
      </c>
    </row>
    <row r="3663" spans="1:2" hidden="1" x14ac:dyDescent="0.2">
      <c r="A3663" t="s">
        <v>8219</v>
      </c>
      <c r="B3663">
        <v>36</v>
      </c>
    </row>
    <row r="3664" spans="1:2" hidden="1" x14ac:dyDescent="0.2">
      <c r="A3664" t="s">
        <v>8219</v>
      </c>
      <c r="B3664">
        <v>40</v>
      </c>
    </row>
    <row r="3665" spans="1:2" hidden="1" x14ac:dyDescent="0.2">
      <c r="A3665" t="s">
        <v>8219</v>
      </c>
      <c r="B3665">
        <v>9</v>
      </c>
    </row>
    <row r="3666" spans="1:2" hidden="1" x14ac:dyDescent="0.2">
      <c r="A3666" t="s">
        <v>8219</v>
      </c>
      <c r="B3666">
        <v>19</v>
      </c>
    </row>
    <row r="3667" spans="1:2" hidden="1" x14ac:dyDescent="0.2">
      <c r="A3667" t="s">
        <v>8219</v>
      </c>
      <c r="B3667">
        <v>14</v>
      </c>
    </row>
    <row r="3668" spans="1:2" hidden="1" x14ac:dyDescent="0.2">
      <c r="A3668" t="s">
        <v>8219</v>
      </c>
      <c r="B3668">
        <v>38</v>
      </c>
    </row>
    <row r="3669" spans="1:2" hidden="1" x14ac:dyDescent="0.2">
      <c r="A3669" t="s">
        <v>8219</v>
      </c>
      <c r="B3669">
        <v>58</v>
      </c>
    </row>
    <row r="3670" spans="1:2" hidden="1" x14ac:dyDescent="0.2">
      <c r="A3670" t="s">
        <v>8219</v>
      </c>
      <c r="B3670">
        <v>28</v>
      </c>
    </row>
    <row r="3671" spans="1:2" hidden="1" x14ac:dyDescent="0.2">
      <c r="A3671" t="s">
        <v>8219</v>
      </c>
      <c r="B3671">
        <v>17</v>
      </c>
    </row>
    <row r="3672" spans="1:2" hidden="1" x14ac:dyDescent="0.2">
      <c r="A3672" t="s">
        <v>8219</v>
      </c>
      <c r="B3672">
        <v>12</v>
      </c>
    </row>
    <row r="3673" spans="1:2" hidden="1" x14ac:dyDescent="0.2">
      <c r="A3673" t="s">
        <v>8219</v>
      </c>
      <c r="B3673">
        <v>40</v>
      </c>
    </row>
    <row r="3674" spans="1:2" hidden="1" x14ac:dyDescent="0.2">
      <c r="A3674" t="s">
        <v>8219</v>
      </c>
      <c r="B3674">
        <v>57</v>
      </c>
    </row>
    <row r="3675" spans="1:2" hidden="1" x14ac:dyDescent="0.2">
      <c r="A3675" t="s">
        <v>8219</v>
      </c>
      <c r="B3675">
        <v>114</v>
      </c>
    </row>
    <row r="3676" spans="1:2" hidden="1" x14ac:dyDescent="0.2">
      <c r="A3676" t="s">
        <v>8219</v>
      </c>
      <c r="B3676">
        <v>31</v>
      </c>
    </row>
    <row r="3677" spans="1:2" hidden="1" x14ac:dyDescent="0.2">
      <c r="A3677" t="s">
        <v>8219</v>
      </c>
      <c r="B3677">
        <v>3</v>
      </c>
    </row>
    <row r="3678" spans="1:2" hidden="1" x14ac:dyDescent="0.2">
      <c r="A3678" t="s">
        <v>8219</v>
      </c>
      <c r="B3678">
        <v>16</v>
      </c>
    </row>
    <row r="3679" spans="1:2" hidden="1" x14ac:dyDescent="0.2">
      <c r="A3679" t="s">
        <v>8219</v>
      </c>
      <c r="B3679">
        <v>199</v>
      </c>
    </row>
    <row r="3680" spans="1:2" hidden="1" x14ac:dyDescent="0.2">
      <c r="A3680" t="s">
        <v>8219</v>
      </c>
      <c r="B3680">
        <v>31</v>
      </c>
    </row>
    <row r="3681" spans="1:2" hidden="1" x14ac:dyDescent="0.2">
      <c r="A3681" t="s">
        <v>8219</v>
      </c>
      <c r="B3681">
        <v>30</v>
      </c>
    </row>
    <row r="3682" spans="1:2" hidden="1" x14ac:dyDescent="0.2">
      <c r="A3682" t="s">
        <v>8219</v>
      </c>
      <c r="B3682">
        <v>34</v>
      </c>
    </row>
    <row r="3683" spans="1:2" hidden="1" x14ac:dyDescent="0.2">
      <c r="A3683" t="s">
        <v>8219</v>
      </c>
      <c r="B3683">
        <v>18</v>
      </c>
    </row>
    <row r="3684" spans="1:2" hidden="1" x14ac:dyDescent="0.2">
      <c r="A3684" t="s">
        <v>8219</v>
      </c>
      <c r="B3684">
        <v>67</v>
      </c>
    </row>
    <row r="3685" spans="1:2" hidden="1" x14ac:dyDescent="0.2">
      <c r="A3685" t="s">
        <v>8219</v>
      </c>
      <c r="B3685">
        <v>66</v>
      </c>
    </row>
    <row r="3686" spans="1:2" hidden="1" x14ac:dyDescent="0.2">
      <c r="A3686" t="s">
        <v>8219</v>
      </c>
      <c r="B3686">
        <v>23</v>
      </c>
    </row>
    <row r="3687" spans="1:2" hidden="1" x14ac:dyDescent="0.2">
      <c r="A3687" t="s">
        <v>8219</v>
      </c>
      <c r="B3687">
        <v>126</v>
      </c>
    </row>
    <row r="3688" spans="1:2" hidden="1" x14ac:dyDescent="0.2">
      <c r="A3688" t="s">
        <v>8219</v>
      </c>
      <c r="B3688">
        <v>6</v>
      </c>
    </row>
    <row r="3689" spans="1:2" hidden="1" x14ac:dyDescent="0.2">
      <c r="A3689" t="s">
        <v>8219</v>
      </c>
      <c r="B3689">
        <v>25</v>
      </c>
    </row>
    <row r="3690" spans="1:2" hidden="1" x14ac:dyDescent="0.2">
      <c r="A3690" t="s">
        <v>8219</v>
      </c>
      <c r="B3690">
        <v>39</v>
      </c>
    </row>
    <row r="3691" spans="1:2" hidden="1" x14ac:dyDescent="0.2">
      <c r="A3691" t="s">
        <v>8219</v>
      </c>
      <c r="B3691">
        <v>62</v>
      </c>
    </row>
    <row r="3692" spans="1:2" hidden="1" x14ac:dyDescent="0.2">
      <c r="A3692" t="s">
        <v>8219</v>
      </c>
      <c r="B3692">
        <v>31</v>
      </c>
    </row>
    <row r="3693" spans="1:2" hidden="1" x14ac:dyDescent="0.2">
      <c r="A3693" t="s">
        <v>8219</v>
      </c>
      <c r="B3693">
        <v>274</v>
      </c>
    </row>
    <row r="3694" spans="1:2" hidden="1" x14ac:dyDescent="0.2">
      <c r="A3694" t="s">
        <v>8219</v>
      </c>
      <c r="B3694">
        <v>17</v>
      </c>
    </row>
    <row r="3695" spans="1:2" hidden="1" x14ac:dyDescent="0.2">
      <c r="A3695" t="s">
        <v>8219</v>
      </c>
      <c r="B3695">
        <v>14</v>
      </c>
    </row>
    <row r="3696" spans="1:2" hidden="1" x14ac:dyDescent="0.2">
      <c r="A3696" t="s">
        <v>8219</v>
      </c>
      <c r="B3696">
        <v>60</v>
      </c>
    </row>
    <row r="3697" spans="1:2" hidden="1" x14ac:dyDescent="0.2">
      <c r="A3697" t="s">
        <v>8219</v>
      </c>
      <c r="B3697">
        <v>33</v>
      </c>
    </row>
    <row r="3698" spans="1:2" hidden="1" x14ac:dyDescent="0.2">
      <c r="A3698" t="s">
        <v>8219</v>
      </c>
      <c r="B3698">
        <v>78</v>
      </c>
    </row>
    <row r="3699" spans="1:2" hidden="1" x14ac:dyDescent="0.2">
      <c r="A3699" t="s">
        <v>8219</v>
      </c>
      <c r="B3699">
        <v>30</v>
      </c>
    </row>
    <row r="3700" spans="1:2" hidden="1" x14ac:dyDescent="0.2">
      <c r="A3700" t="s">
        <v>8219</v>
      </c>
      <c r="B3700">
        <v>136</v>
      </c>
    </row>
    <row r="3701" spans="1:2" hidden="1" x14ac:dyDescent="0.2">
      <c r="A3701" t="s">
        <v>8219</v>
      </c>
      <c r="B3701">
        <v>40</v>
      </c>
    </row>
    <row r="3702" spans="1:2" hidden="1" x14ac:dyDescent="0.2">
      <c r="A3702" t="s">
        <v>8219</v>
      </c>
      <c r="B3702">
        <v>18</v>
      </c>
    </row>
    <row r="3703" spans="1:2" hidden="1" x14ac:dyDescent="0.2">
      <c r="A3703" t="s">
        <v>8219</v>
      </c>
      <c r="B3703">
        <v>39</v>
      </c>
    </row>
    <row r="3704" spans="1:2" hidden="1" x14ac:dyDescent="0.2">
      <c r="A3704" t="s">
        <v>8219</v>
      </c>
      <c r="B3704">
        <v>21</v>
      </c>
    </row>
    <row r="3705" spans="1:2" hidden="1" x14ac:dyDescent="0.2">
      <c r="A3705" t="s">
        <v>8219</v>
      </c>
      <c r="B3705">
        <v>30</v>
      </c>
    </row>
    <row r="3706" spans="1:2" hidden="1" x14ac:dyDescent="0.2">
      <c r="A3706" t="s">
        <v>8219</v>
      </c>
      <c r="B3706">
        <v>27</v>
      </c>
    </row>
    <row r="3707" spans="1:2" hidden="1" x14ac:dyDescent="0.2">
      <c r="A3707" t="s">
        <v>8219</v>
      </c>
      <c r="B3707">
        <v>35</v>
      </c>
    </row>
    <row r="3708" spans="1:2" hidden="1" x14ac:dyDescent="0.2">
      <c r="A3708" t="s">
        <v>8219</v>
      </c>
      <c r="B3708">
        <v>13</v>
      </c>
    </row>
    <row r="3709" spans="1:2" hidden="1" x14ac:dyDescent="0.2">
      <c r="A3709" t="s">
        <v>8219</v>
      </c>
      <c r="B3709">
        <v>23</v>
      </c>
    </row>
    <row r="3710" spans="1:2" hidden="1" x14ac:dyDescent="0.2">
      <c r="A3710" t="s">
        <v>8219</v>
      </c>
      <c r="B3710">
        <v>39</v>
      </c>
    </row>
    <row r="3711" spans="1:2" hidden="1" x14ac:dyDescent="0.2">
      <c r="A3711" t="s">
        <v>8219</v>
      </c>
      <c r="B3711">
        <v>35</v>
      </c>
    </row>
    <row r="3712" spans="1:2" hidden="1" x14ac:dyDescent="0.2">
      <c r="A3712" t="s">
        <v>8219</v>
      </c>
      <c r="B3712">
        <v>27</v>
      </c>
    </row>
    <row r="3713" spans="1:2" hidden="1" x14ac:dyDescent="0.2">
      <c r="A3713" t="s">
        <v>8219</v>
      </c>
      <c r="B3713">
        <v>21</v>
      </c>
    </row>
    <row r="3714" spans="1:2" hidden="1" x14ac:dyDescent="0.2">
      <c r="A3714" t="s">
        <v>8219</v>
      </c>
      <c r="B3714">
        <v>104</v>
      </c>
    </row>
    <row r="3715" spans="1:2" hidden="1" x14ac:dyDescent="0.2">
      <c r="A3715" t="s">
        <v>8219</v>
      </c>
      <c r="B3715">
        <v>19</v>
      </c>
    </row>
    <row r="3716" spans="1:2" hidden="1" x14ac:dyDescent="0.2">
      <c r="A3716" t="s">
        <v>8219</v>
      </c>
      <c r="B3716">
        <v>97</v>
      </c>
    </row>
    <row r="3717" spans="1:2" hidden="1" x14ac:dyDescent="0.2">
      <c r="A3717" t="s">
        <v>8219</v>
      </c>
      <c r="B3717">
        <v>27</v>
      </c>
    </row>
    <row r="3718" spans="1:2" hidden="1" x14ac:dyDescent="0.2">
      <c r="A3718" t="s">
        <v>8219</v>
      </c>
      <c r="B3718">
        <v>24</v>
      </c>
    </row>
    <row r="3719" spans="1:2" hidden="1" x14ac:dyDescent="0.2">
      <c r="A3719" t="s">
        <v>8219</v>
      </c>
      <c r="B3719">
        <v>13</v>
      </c>
    </row>
    <row r="3720" spans="1:2" hidden="1" x14ac:dyDescent="0.2">
      <c r="A3720" t="s">
        <v>8219</v>
      </c>
      <c r="B3720">
        <v>46</v>
      </c>
    </row>
    <row r="3721" spans="1:2" hidden="1" x14ac:dyDescent="0.2">
      <c r="A3721" t="s">
        <v>8219</v>
      </c>
      <c r="B3721">
        <v>4</v>
      </c>
    </row>
    <row r="3722" spans="1:2" hidden="1" x14ac:dyDescent="0.2">
      <c r="A3722" t="s">
        <v>8219</v>
      </c>
      <c r="B3722">
        <v>40</v>
      </c>
    </row>
    <row r="3723" spans="1:2" hidden="1" x14ac:dyDescent="0.2">
      <c r="A3723" t="s">
        <v>8219</v>
      </c>
      <c r="B3723">
        <v>44</v>
      </c>
    </row>
    <row r="3724" spans="1:2" hidden="1" x14ac:dyDescent="0.2">
      <c r="A3724" t="s">
        <v>8219</v>
      </c>
      <c r="B3724">
        <v>35</v>
      </c>
    </row>
    <row r="3725" spans="1:2" hidden="1" x14ac:dyDescent="0.2">
      <c r="A3725" t="s">
        <v>8219</v>
      </c>
      <c r="B3725">
        <v>63</v>
      </c>
    </row>
    <row r="3726" spans="1:2" hidden="1" x14ac:dyDescent="0.2">
      <c r="A3726" t="s">
        <v>8219</v>
      </c>
      <c r="B3726">
        <v>89</v>
      </c>
    </row>
    <row r="3727" spans="1:2" hidden="1" x14ac:dyDescent="0.2">
      <c r="A3727" t="s">
        <v>8219</v>
      </c>
      <c r="B3727">
        <v>15</v>
      </c>
    </row>
    <row r="3728" spans="1:2" hidden="1" x14ac:dyDescent="0.2">
      <c r="A3728" t="s">
        <v>8219</v>
      </c>
      <c r="B3728">
        <v>46</v>
      </c>
    </row>
    <row r="3729" spans="1:2" hidden="1" x14ac:dyDescent="0.2">
      <c r="A3729" t="s">
        <v>8219</v>
      </c>
      <c r="B3729">
        <v>33</v>
      </c>
    </row>
    <row r="3730" spans="1:2" x14ac:dyDescent="0.2">
      <c r="A3730" t="s">
        <v>8221</v>
      </c>
      <c r="B3730">
        <v>1</v>
      </c>
    </row>
    <row r="3731" spans="1:2" x14ac:dyDescent="0.2">
      <c r="A3731" t="s">
        <v>8221</v>
      </c>
      <c r="B3731">
        <v>1</v>
      </c>
    </row>
    <row r="3732" spans="1:2" x14ac:dyDescent="0.2">
      <c r="A3732" t="s">
        <v>8221</v>
      </c>
      <c r="B3732">
        <v>1</v>
      </c>
    </row>
    <row r="3733" spans="1:2" x14ac:dyDescent="0.2">
      <c r="A3733" t="s">
        <v>8221</v>
      </c>
      <c r="B3733">
        <v>1</v>
      </c>
    </row>
    <row r="3734" spans="1:2" x14ac:dyDescent="0.2">
      <c r="A3734" t="s">
        <v>8221</v>
      </c>
      <c r="B3734">
        <v>1</v>
      </c>
    </row>
    <row r="3735" spans="1:2" x14ac:dyDescent="0.2">
      <c r="A3735" t="s">
        <v>8221</v>
      </c>
      <c r="B3735">
        <v>1</v>
      </c>
    </row>
    <row r="3736" spans="1:2" x14ac:dyDescent="0.2">
      <c r="A3736" t="s">
        <v>8221</v>
      </c>
      <c r="B3736">
        <v>0</v>
      </c>
    </row>
    <row r="3737" spans="1:2" x14ac:dyDescent="0.2">
      <c r="A3737" t="s">
        <v>8221</v>
      </c>
      <c r="B3737">
        <v>0</v>
      </c>
    </row>
    <row r="3738" spans="1:2" x14ac:dyDescent="0.2">
      <c r="A3738" t="s">
        <v>8221</v>
      </c>
      <c r="B3738">
        <v>0</v>
      </c>
    </row>
    <row r="3739" spans="1:2" x14ac:dyDescent="0.2">
      <c r="A3739" t="s">
        <v>8221</v>
      </c>
      <c r="B3739">
        <v>0</v>
      </c>
    </row>
    <row r="3740" spans="1:2" x14ac:dyDescent="0.2">
      <c r="A3740" t="s">
        <v>8221</v>
      </c>
      <c r="B3740">
        <v>0</v>
      </c>
    </row>
    <row r="3741" spans="1:2" x14ac:dyDescent="0.2">
      <c r="A3741" t="s">
        <v>8221</v>
      </c>
      <c r="B3741">
        <v>0</v>
      </c>
    </row>
    <row r="3742" spans="1:2" x14ac:dyDescent="0.2">
      <c r="A3742" t="s">
        <v>8221</v>
      </c>
      <c r="B3742">
        <v>0</v>
      </c>
    </row>
    <row r="3743" spans="1:2" x14ac:dyDescent="0.2">
      <c r="A3743" t="s">
        <v>8221</v>
      </c>
      <c r="B3743">
        <v>0</v>
      </c>
    </row>
    <row r="3744" spans="1:2" x14ac:dyDescent="0.2">
      <c r="A3744" t="s">
        <v>8221</v>
      </c>
      <c r="B3744">
        <v>0</v>
      </c>
    </row>
    <row r="3745" spans="1:2" x14ac:dyDescent="0.2">
      <c r="A3745" t="s">
        <v>8221</v>
      </c>
      <c r="B3745">
        <v>0</v>
      </c>
    </row>
    <row r="3746" spans="1:2" x14ac:dyDescent="0.2">
      <c r="A3746" t="s">
        <v>8221</v>
      </c>
      <c r="B3746">
        <v>0</v>
      </c>
    </row>
    <row r="3747" spans="1:2" x14ac:dyDescent="0.2">
      <c r="A3747" t="s">
        <v>8221</v>
      </c>
      <c r="B3747">
        <v>0</v>
      </c>
    </row>
    <row r="3748" spans="1:2" x14ac:dyDescent="0.2">
      <c r="A3748" t="s">
        <v>8221</v>
      </c>
      <c r="B3748">
        <v>0</v>
      </c>
    </row>
    <row r="3749" spans="1:2" x14ac:dyDescent="0.2">
      <c r="A3749" t="s">
        <v>8221</v>
      </c>
      <c r="B3749">
        <v>0</v>
      </c>
    </row>
    <row r="3750" spans="1:2" hidden="1" x14ac:dyDescent="0.2">
      <c r="A3750" t="s">
        <v>8219</v>
      </c>
      <c r="B3750">
        <v>52</v>
      </c>
    </row>
    <row r="3751" spans="1:2" hidden="1" x14ac:dyDescent="0.2">
      <c r="A3751" t="s">
        <v>8219</v>
      </c>
      <c r="B3751">
        <v>7</v>
      </c>
    </row>
    <row r="3752" spans="1:2" hidden="1" x14ac:dyDescent="0.2">
      <c r="A3752" t="s">
        <v>8219</v>
      </c>
      <c r="B3752">
        <v>28</v>
      </c>
    </row>
    <row r="3753" spans="1:2" hidden="1" x14ac:dyDescent="0.2">
      <c r="A3753" t="s">
        <v>8219</v>
      </c>
      <c r="B3753">
        <v>11</v>
      </c>
    </row>
    <row r="3754" spans="1:2" hidden="1" x14ac:dyDescent="0.2">
      <c r="A3754" t="s">
        <v>8219</v>
      </c>
      <c r="B3754">
        <v>15</v>
      </c>
    </row>
    <row r="3755" spans="1:2" hidden="1" x14ac:dyDescent="0.2">
      <c r="A3755" t="s">
        <v>8219</v>
      </c>
      <c r="B3755">
        <v>30</v>
      </c>
    </row>
    <row r="3756" spans="1:2" hidden="1" x14ac:dyDescent="0.2">
      <c r="A3756" t="s">
        <v>8219</v>
      </c>
      <c r="B3756">
        <v>27</v>
      </c>
    </row>
    <row r="3757" spans="1:2" hidden="1" x14ac:dyDescent="0.2">
      <c r="A3757" t="s">
        <v>8219</v>
      </c>
      <c r="B3757">
        <v>28</v>
      </c>
    </row>
    <row r="3758" spans="1:2" hidden="1" x14ac:dyDescent="0.2">
      <c r="A3758" t="s">
        <v>8219</v>
      </c>
      <c r="B3758">
        <v>17</v>
      </c>
    </row>
    <row r="3759" spans="1:2" hidden="1" x14ac:dyDescent="0.2">
      <c r="A3759" t="s">
        <v>8219</v>
      </c>
      <c r="B3759">
        <v>50</v>
      </c>
    </row>
    <row r="3760" spans="1:2" hidden="1" x14ac:dyDescent="0.2">
      <c r="A3760" t="s">
        <v>8219</v>
      </c>
      <c r="B3760">
        <v>26</v>
      </c>
    </row>
    <row r="3761" spans="1:2" hidden="1" x14ac:dyDescent="0.2">
      <c r="A3761" t="s">
        <v>8219</v>
      </c>
      <c r="B3761">
        <v>88</v>
      </c>
    </row>
    <row r="3762" spans="1:2" hidden="1" x14ac:dyDescent="0.2">
      <c r="A3762" t="s">
        <v>8219</v>
      </c>
      <c r="B3762">
        <v>91</v>
      </c>
    </row>
    <row r="3763" spans="1:2" hidden="1" x14ac:dyDescent="0.2">
      <c r="A3763" t="s">
        <v>8219</v>
      </c>
      <c r="B3763">
        <v>3</v>
      </c>
    </row>
    <row r="3764" spans="1:2" hidden="1" x14ac:dyDescent="0.2">
      <c r="A3764" t="s">
        <v>8219</v>
      </c>
      <c r="B3764">
        <v>28</v>
      </c>
    </row>
    <row r="3765" spans="1:2" hidden="1" x14ac:dyDescent="0.2">
      <c r="A3765" t="s">
        <v>8219</v>
      </c>
      <c r="B3765">
        <v>77</v>
      </c>
    </row>
    <row r="3766" spans="1:2" hidden="1" x14ac:dyDescent="0.2">
      <c r="A3766" t="s">
        <v>8219</v>
      </c>
      <c r="B3766">
        <v>27</v>
      </c>
    </row>
    <row r="3767" spans="1:2" hidden="1" x14ac:dyDescent="0.2">
      <c r="A3767" t="s">
        <v>8219</v>
      </c>
      <c r="B3767">
        <v>107</v>
      </c>
    </row>
    <row r="3768" spans="1:2" hidden="1" x14ac:dyDescent="0.2">
      <c r="A3768" t="s">
        <v>8219</v>
      </c>
      <c r="B3768">
        <v>96</v>
      </c>
    </row>
    <row r="3769" spans="1:2" hidden="1" x14ac:dyDescent="0.2">
      <c r="A3769" t="s">
        <v>8219</v>
      </c>
      <c r="B3769">
        <v>56</v>
      </c>
    </row>
    <row r="3770" spans="1:2" hidden="1" x14ac:dyDescent="0.2">
      <c r="A3770" t="s">
        <v>8219</v>
      </c>
      <c r="B3770">
        <v>58</v>
      </c>
    </row>
    <row r="3771" spans="1:2" hidden="1" x14ac:dyDescent="0.2">
      <c r="A3771" t="s">
        <v>8219</v>
      </c>
      <c r="B3771">
        <v>15</v>
      </c>
    </row>
    <row r="3772" spans="1:2" hidden="1" x14ac:dyDescent="0.2">
      <c r="A3772" t="s">
        <v>8219</v>
      </c>
      <c r="B3772">
        <v>20</v>
      </c>
    </row>
    <row r="3773" spans="1:2" hidden="1" x14ac:dyDescent="0.2">
      <c r="A3773" t="s">
        <v>8219</v>
      </c>
      <c r="B3773">
        <v>38</v>
      </c>
    </row>
    <row r="3774" spans="1:2" hidden="1" x14ac:dyDescent="0.2">
      <c r="A3774" t="s">
        <v>8219</v>
      </c>
      <c r="B3774">
        <v>33</v>
      </c>
    </row>
    <row r="3775" spans="1:2" hidden="1" x14ac:dyDescent="0.2">
      <c r="A3775" t="s">
        <v>8219</v>
      </c>
      <c r="B3775">
        <v>57</v>
      </c>
    </row>
    <row r="3776" spans="1:2" hidden="1" x14ac:dyDescent="0.2">
      <c r="A3776" t="s">
        <v>8219</v>
      </c>
      <c r="B3776">
        <v>25</v>
      </c>
    </row>
    <row r="3777" spans="1:2" hidden="1" x14ac:dyDescent="0.2">
      <c r="A3777" t="s">
        <v>8219</v>
      </c>
      <c r="B3777">
        <v>14</v>
      </c>
    </row>
    <row r="3778" spans="1:2" hidden="1" x14ac:dyDescent="0.2">
      <c r="A3778" t="s">
        <v>8219</v>
      </c>
      <c r="B3778">
        <v>94</v>
      </c>
    </row>
    <row r="3779" spans="1:2" hidden="1" x14ac:dyDescent="0.2">
      <c r="A3779" t="s">
        <v>8219</v>
      </c>
      <c r="B3779">
        <v>59</v>
      </c>
    </row>
    <row r="3780" spans="1:2" hidden="1" x14ac:dyDescent="0.2">
      <c r="A3780" t="s">
        <v>8219</v>
      </c>
      <c r="B3780">
        <v>36</v>
      </c>
    </row>
    <row r="3781" spans="1:2" hidden="1" x14ac:dyDescent="0.2">
      <c r="A3781" t="s">
        <v>8219</v>
      </c>
      <c r="B3781">
        <v>115</v>
      </c>
    </row>
    <row r="3782" spans="1:2" hidden="1" x14ac:dyDescent="0.2">
      <c r="A3782" t="s">
        <v>8219</v>
      </c>
      <c r="B3782">
        <v>30</v>
      </c>
    </row>
    <row r="3783" spans="1:2" hidden="1" x14ac:dyDescent="0.2">
      <c r="A3783" t="s">
        <v>8219</v>
      </c>
      <c r="B3783">
        <v>52</v>
      </c>
    </row>
    <row r="3784" spans="1:2" hidden="1" x14ac:dyDescent="0.2">
      <c r="A3784" t="s">
        <v>8219</v>
      </c>
      <c r="B3784">
        <v>27</v>
      </c>
    </row>
    <row r="3785" spans="1:2" hidden="1" x14ac:dyDescent="0.2">
      <c r="A3785" t="s">
        <v>8219</v>
      </c>
      <c r="B3785">
        <v>24</v>
      </c>
    </row>
    <row r="3786" spans="1:2" hidden="1" x14ac:dyDescent="0.2">
      <c r="A3786" t="s">
        <v>8219</v>
      </c>
      <c r="B3786">
        <v>10</v>
      </c>
    </row>
    <row r="3787" spans="1:2" hidden="1" x14ac:dyDescent="0.2">
      <c r="A3787" t="s">
        <v>8219</v>
      </c>
      <c r="B3787">
        <v>30</v>
      </c>
    </row>
    <row r="3788" spans="1:2" hidden="1" x14ac:dyDescent="0.2">
      <c r="A3788" t="s">
        <v>8219</v>
      </c>
      <c r="B3788">
        <v>71</v>
      </c>
    </row>
    <row r="3789" spans="1:2" hidden="1" x14ac:dyDescent="0.2">
      <c r="A3789" t="s">
        <v>8219</v>
      </c>
      <c r="B3789">
        <v>10</v>
      </c>
    </row>
    <row r="3790" spans="1:2" x14ac:dyDescent="0.2">
      <c r="A3790" t="s">
        <v>8221</v>
      </c>
      <c r="B3790">
        <v>0</v>
      </c>
    </row>
    <row r="3791" spans="1:2" x14ac:dyDescent="0.2">
      <c r="A3791" t="s">
        <v>8221</v>
      </c>
      <c r="B3791">
        <v>0</v>
      </c>
    </row>
    <row r="3792" spans="1:2" x14ac:dyDescent="0.2">
      <c r="A3792" t="s">
        <v>8221</v>
      </c>
      <c r="B3792">
        <v>0</v>
      </c>
    </row>
    <row r="3793" spans="1:2" x14ac:dyDescent="0.2">
      <c r="A3793" t="s">
        <v>8221</v>
      </c>
      <c r="B3793">
        <v>0</v>
      </c>
    </row>
    <row r="3794" spans="1:2" x14ac:dyDescent="0.2">
      <c r="A3794" t="s">
        <v>8221</v>
      </c>
      <c r="B3794">
        <v>0</v>
      </c>
    </row>
    <row r="3795" spans="1:2" x14ac:dyDescent="0.2">
      <c r="A3795" t="s">
        <v>8221</v>
      </c>
      <c r="B3795">
        <v>0</v>
      </c>
    </row>
    <row r="3796" spans="1:2" x14ac:dyDescent="0.2">
      <c r="A3796" t="s">
        <v>8221</v>
      </c>
      <c r="B3796">
        <v>0</v>
      </c>
    </row>
    <row r="3797" spans="1:2" x14ac:dyDescent="0.2">
      <c r="A3797" t="s">
        <v>8221</v>
      </c>
      <c r="B3797">
        <v>0</v>
      </c>
    </row>
    <row r="3798" spans="1:2" x14ac:dyDescent="0.2">
      <c r="A3798" t="s">
        <v>8221</v>
      </c>
      <c r="B3798">
        <v>0</v>
      </c>
    </row>
    <row r="3799" spans="1:2" x14ac:dyDescent="0.2">
      <c r="A3799" t="s">
        <v>8221</v>
      </c>
      <c r="B3799">
        <v>0</v>
      </c>
    </row>
    <row r="3800" spans="1:2" x14ac:dyDescent="0.2">
      <c r="A3800" t="s">
        <v>8221</v>
      </c>
      <c r="B3800">
        <v>0</v>
      </c>
    </row>
    <row r="3801" spans="1:2" x14ac:dyDescent="0.2">
      <c r="A3801" t="s">
        <v>8221</v>
      </c>
      <c r="B3801">
        <v>0</v>
      </c>
    </row>
    <row r="3802" spans="1:2" x14ac:dyDescent="0.2">
      <c r="A3802" t="s">
        <v>8221</v>
      </c>
      <c r="B3802">
        <v>0</v>
      </c>
    </row>
    <row r="3803" spans="1:2" x14ac:dyDescent="0.2">
      <c r="A3803" t="s">
        <v>8221</v>
      </c>
      <c r="B3803">
        <v>0</v>
      </c>
    </row>
    <row r="3804" spans="1:2" x14ac:dyDescent="0.2">
      <c r="A3804" t="s">
        <v>8221</v>
      </c>
      <c r="B3804">
        <v>0</v>
      </c>
    </row>
    <row r="3805" spans="1:2" x14ac:dyDescent="0.2">
      <c r="A3805" t="s">
        <v>8221</v>
      </c>
      <c r="B3805">
        <v>0</v>
      </c>
    </row>
    <row r="3806" spans="1:2" x14ac:dyDescent="0.2">
      <c r="A3806" t="s">
        <v>8221</v>
      </c>
      <c r="B3806">
        <v>0</v>
      </c>
    </row>
    <row r="3807" spans="1:2" x14ac:dyDescent="0.2">
      <c r="A3807" t="s">
        <v>8221</v>
      </c>
      <c r="B3807">
        <v>0</v>
      </c>
    </row>
    <row r="3808" spans="1:2" x14ac:dyDescent="0.2">
      <c r="A3808" t="s">
        <v>8221</v>
      </c>
      <c r="B3808">
        <v>0</v>
      </c>
    </row>
    <row r="3809" spans="1:2" x14ac:dyDescent="0.2">
      <c r="A3809" t="s">
        <v>8221</v>
      </c>
      <c r="B3809">
        <v>0</v>
      </c>
    </row>
    <row r="3810" spans="1:2" hidden="1" x14ac:dyDescent="0.2">
      <c r="A3810" t="s">
        <v>8219</v>
      </c>
      <c r="B3810">
        <v>24</v>
      </c>
    </row>
    <row r="3811" spans="1:2" hidden="1" x14ac:dyDescent="0.2">
      <c r="A3811" t="s">
        <v>8219</v>
      </c>
      <c r="B3811">
        <v>38</v>
      </c>
    </row>
    <row r="3812" spans="1:2" hidden="1" x14ac:dyDescent="0.2">
      <c r="A3812" t="s">
        <v>8219</v>
      </c>
      <c r="B3812">
        <v>26</v>
      </c>
    </row>
    <row r="3813" spans="1:2" hidden="1" x14ac:dyDescent="0.2">
      <c r="A3813" t="s">
        <v>8219</v>
      </c>
      <c r="B3813">
        <v>19</v>
      </c>
    </row>
    <row r="3814" spans="1:2" hidden="1" x14ac:dyDescent="0.2">
      <c r="A3814" t="s">
        <v>8219</v>
      </c>
      <c r="B3814">
        <v>11</v>
      </c>
    </row>
    <row r="3815" spans="1:2" hidden="1" x14ac:dyDescent="0.2">
      <c r="A3815" t="s">
        <v>8219</v>
      </c>
      <c r="B3815">
        <v>27</v>
      </c>
    </row>
    <row r="3816" spans="1:2" hidden="1" x14ac:dyDescent="0.2">
      <c r="A3816" t="s">
        <v>8219</v>
      </c>
      <c r="B3816">
        <v>34</v>
      </c>
    </row>
    <row r="3817" spans="1:2" hidden="1" x14ac:dyDescent="0.2">
      <c r="A3817" t="s">
        <v>8219</v>
      </c>
      <c r="B3817">
        <v>20</v>
      </c>
    </row>
    <row r="3818" spans="1:2" hidden="1" x14ac:dyDescent="0.2">
      <c r="A3818" t="s">
        <v>8219</v>
      </c>
      <c r="B3818">
        <v>37</v>
      </c>
    </row>
    <row r="3819" spans="1:2" hidden="1" x14ac:dyDescent="0.2">
      <c r="A3819" t="s">
        <v>8219</v>
      </c>
      <c r="B3819">
        <v>20</v>
      </c>
    </row>
    <row r="3820" spans="1:2" hidden="1" x14ac:dyDescent="0.2">
      <c r="A3820" t="s">
        <v>8219</v>
      </c>
      <c r="B3820">
        <v>10</v>
      </c>
    </row>
    <row r="3821" spans="1:2" hidden="1" x14ac:dyDescent="0.2">
      <c r="A3821" t="s">
        <v>8219</v>
      </c>
      <c r="B3821">
        <v>26</v>
      </c>
    </row>
    <row r="3822" spans="1:2" hidden="1" x14ac:dyDescent="0.2">
      <c r="A3822" t="s">
        <v>8219</v>
      </c>
      <c r="B3822">
        <v>20</v>
      </c>
    </row>
    <row r="3823" spans="1:2" hidden="1" x14ac:dyDescent="0.2">
      <c r="A3823" t="s">
        <v>8219</v>
      </c>
      <c r="B3823">
        <v>46</v>
      </c>
    </row>
    <row r="3824" spans="1:2" hidden="1" x14ac:dyDescent="0.2">
      <c r="A3824" t="s">
        <v>8219</v>
      </c>
      <c r="B3824">
        <v>76</v>
      </c>
    </row>
    <row r="3825" spans="1:2" hidden="1" x14ac:dyDescent="0.2">
      <c r="A3825" t="s">
        <v>8219</v>
      </c>
      <c r="B3825">
        <v>41</v>
      </c>
    </row>
    <row r="3826" spans="1:2" hidden="1" x14ac:dyDescent="0.2">
      <c r="A3826" t="s">
        <v>8219</v>
      </c>
      <c r="B3826">
        <v>7</v>
      </c>
    </row>
    <row r="3827" spans="1:2" hidden="1" x14ac:dyDescent="0.2">
      <c r="A3827" t="s">
        <v>8219</v>
      </c>
      <c r="B3827">
        <v>49</v>
      </c>
    </row>
    <row r="3828" spans="1:2" hidden="1" x14ac:dyDescent="0.2">
      <c r="A3828" t="s">
        <v>8219</v>
      </c>
      <c r="B3828">
        <v>26</v>
      </c>
    </row>
    <row r="3829" spans="1:2" hidden="1" x14ac:dyDescent="0.2">
      <c r="A3829" t="s">
        <v>8219</v>
      </c>
      <c r="B3829">
        <v>65</v>
      </c>
    </row>
    <row r="3830" spans="1:2" hidden="1" x14ac:dyDescent="0.2">
      <c r="A3830" t="s">
        <v>8219</v>
      </c>
      <c r="B3830">
        <v>28</v>
      </c>
    </row>
    <row r="3831" spans="1:2" hidden="1" x14ac:dyDescent="0.2">
      <c r="A3831" t="s">
        <v>8219</v>
      </c>
      <c r="B3831">
        <v>8</v>
      </c>
    </row>
    <row r="3832" spans="1:2" hidden="1" x14ac:dyDescent="0.2">
      <c r="A3832" t="s">
        <v>8219</v>
      </c>
      <c r="B3832">
        <v>3</v>
      </c>
    </row>
    <row r="3833" spans="1:2" hidden="1" x14ac:dyDescent="0.2">
      <c r="A3833" t="s">
        <v>8219</v>
      </c>
      <c r="B3833">
        <v>9</v>
      </c>
    </row>
    <row r="3834" spans="1:2" hidden="1" x14ac:dyDescent="0.2">
      <c r="A3834" t="s">
        <v>8219</v>
      </c>
      <c r="B3834">
        <v>9</v>
      </c>
    </row>
    <row r="3835" spans="1:2" hidden="1" x14ac:dyDescent="0.2">
      <c r="A3835" t="s">
        <v>8219</v>
      </c>
      <c r="B3835">
        <v>20</v>
      </c>
    </row>
    <row r="3836" spans="1:2" hidden="1" x14ac:dyDescent="0.2">
      <c r="A3836" t="s">
        <v>8219</v>
      </c>
      <c r="B3836">
        <v>57</v>
      </c>
    </row>
    <row r="3837" spans="1:2" hidden="1" x14ac:dyDescent="0.2">
      <c r="A3837" t="s">
        <v>8219</v>
      </c>
      <c r="B3837">
        <v>8</v>
      </c>
    </row>
    <row r="3838" spans="1:2" hidden="1" x14ac:dyDescent="0.2">
      <c r="A3838" t="s">
        <v>8219</v>
      </c>
      <c r="B3838">
        <v>14</v>
      </c>
    </row>
    <row r="3839" spans="1:2" hidden="1" x14ac:dyDescent="0.2">
      <c r="A3839" t="s">
        <v>8219</v>
      </c>
      <c r="B3839">
        <v>17</v>
      </c>
    </row>
    <row r="3840" spans="1:2" hidden="1" x14ac:dyDescent="0.2">
      <c r="A3840" t="s">
        <v>8219</v>
      </c>
      <c r="B3840">
        <v>100</v>
      </c>
    </row>
    <row r="3841" spans="1:2" hidden="1" x14ac:dyDescent="0.2">
      <c r="A3841" t="s">
        <v>8219</v>
      </c>
      <c r="B3841">
        <v>32</v>
      </c>
    </row>
    <row r="3842" spans="1:2" hidden="1" x14ac:dyDescent="0.2">
      <c r="A3842" t="s">
        <v>8219</v>
      </c>
      <c r="B3842">
        <v>3</v>
      </c>
    </row>
    <row r="3843" spans="1:2" x14ac:dyDescent="0.2">
      <c r="A3843" t="s">
        <v>8221</v>
      </c>
      <c r="B3843">
        <v>0</v>
      </c>
    </row>
    <row r="3844" spans="1:2" x14ac:dyDescent="0.2">
      <c r="A3844" t="s">
        <v>8221</v>
      </c>
      <c r="B3844">
        <v>0</v>
      </c>
    </row>
    <row r="3845" spans="1:2" x14ac:dyDescent="0.2">
      <c r="A3845" t="s">
        <v>8221</v>
      </c>
      <c r="B3845">
        <v>0</v>
      </c>
    </row>
    <row r="3846" spans="1:2" x14ac:dyDescent="0.2">
      <c r="A3846" t="s">
        <v>8221</v>
      </c>
      <c r="B3846">
        <v>0</v>
      </c>
    </row>
    <row r="3847" spans="1:2" x14ac:dyDescent="0.2">
      <c r="A3847" t="s">
        <v>8221</v>
      </c>
      <c r="B3847">
        <v>0</v>
      </c>
    </row>
    <row r="3848" spans="1:2" x14ac:dyDescent="0.2">
      <c r="A3848" t="s">
        <v>8221</v>
      </c>
      <c r="B3848">
        <v>0</v>
      </c>
    </row>
    <row r="3849" spans="1:2" x14ac:dyDescent="0.2">
      <c r="A3849" t="s">
        <v>8221</v>
      </c>
      <c r="B3849">
        <v>0</v>
      </c>
    </row>
    <row r="3850" spans="1:2" x14ac:dyDescent="0.2">
      <c r="A3850" t="s">
        <v>8221</v>
      </c>
      <c r="B3850">
        <v>0</v>
      </c>
    </row>
    <row r="3851" spans="1:2" x14ac:dyDescent="0.2">
      <c r="A3851" t="s">
        <v>8221</v>
      </c>
      <c r="B3851">
        <v>0</v>
      </c>
    </row>
    <row r="3852" spans="1:2" x14ac:dyDescent="0.2">
      <c r="A3852" t="s">
        <v>8221</v>
      </c>
      <c r="B3852">
        <v>0</v>
      </c>
    </row>
    <row r="3853" spans="1:2" x14ac:dyDescent="0.2">
      <c r="A3853" t="s">
        <v>8221</v>
      </c>
      <c r="B3853">
        <v>0</v>
      </c>
    </row>
    <row r="3854" spans="1:2" x14ac:dyDescent="0.2">
      <c r="A3854" t="s">
        <v>8221</v>
      </c>
      <c r="B3854">
        <v>0</v>
      </c>
    </row>
    <row r="3855" spans="1:2" x14ac:dyDescent="0.2">
      <c r="A3855" t="s">
        <v>8221</v>
      </c>
      <c r="B3855">
        <v>0</v>
      </c>
    </row>
    <row r="3856" spans="1:2" x14ac:dyDescent="0.2">
      <c r="A3856" t="s">
        <v>8221</v>
      </c>
      <c r="B3856">
        <v>0</v>
      </c>
    </row>
    <row r="3857" spans="1:2" x14ac:dyDescent="0.2">
      <c r="A3857" t="s">
        <v>8221</v>
      </c>
      <c r="B3857">
        <v>0</v>
      </c>
    </row>
    <row r="3858" spans="1:2" x14ac:dyDescent="0.2">
      <c r="A3858" t="s">
        <v>8221</v>
      </c>
      <c r="B3858">
        <v>0</v>
      </c>
    </row>
    <row r="3859" spans="1:2" x14ac:dyDescent="0.2">
      <c r="A3859" t="s">
        <v>8221</v>
      </c>
      <c r="B3859">
        <v>0</v>
      </c>
    </row>
    <row r="3860" spans="1:2" x14ac:dyDescent="0.2">
      <c r="A3860" t="s">
        <v>8221</v>
      </c>
      <c r="B3860">
        <v>0</v>
      </c>
    </row>
    <row r="3861" spans="1:2" x14ac:dyDescent="0.2">
      <c r="A3861" t="s">
        <v>8221</v>
      </c>
      <c r="B3861">
        <v>0</v>
      </c>
    </row>
    <row r="3862" spans="1:2" x14ac:dyDescent="0.2">
      <c r="A3862" t="s">
        <v>8221</v>
      </c>
      <c r="B3862">
        <v>0</v>
      </c>
    </row>
    <row r="3863" spans="1:2" x14ac:dyDescent="0.2">
      <c r="A3863" t="s">
        <v>8221</v>
      </c>
      <c r="B3863">
        <v>0</v>
      </c>
    </row>
    <row r="3864" spans="1:2" x14ac:dyDescent="0.2">
      <c r="A3864" t="s">
        <v>8221</v>
      </c>
      <c r="B3864">
        <v>0</v>
      </c>
    </row>
    <row r="3865" spans="1:2" x14ac:dyDescent="0.2">
      <c r="A3865" t="s">
        <v>8221</v>
      </c>
      <c r="B3865">
        <v>0</v>
      </c>
    </row>
    <row r="3866" spans="1:2" x14ac:dyDescent="0.2">
      <c r="A3866" t="s">
        <v>8221</v>
      </c>
      <c r="B3866">
        <v>0</v>
      </c>
    </row>
    <row r="3867" spans="1:2" x14ac:dyDescent="0.2">
      <c r="A3867" t="s">
        <v>8221</v>
      </c>
      <c r="B3867">
        <v>0</v>
      </c>
    </row>
    <row r="3868" spans="1:2" x14ac:dyDescent="0.2">
      <c r="A3868" t="s">
        <v>8221</v>
      </c>
      <c r="B3868">
        <v>0</v>
      </c>
    </row>
    <row r="3869" spans="1:2" x14ac:dyDescent="0.2">
      <c r="A3869" t="s">
        <v>8221</v>
      </c>
      <c r="B3869">
        <v>0</v>
      </c>
    </row>
    <row r="3870" spans="1:2" hidden="1" x14ac:dyDescent="0.2">
      <c r="A3870" t="s">
        <v>8220</v>
      </c>
      <c r="B3870">
        <v>1</v>
      </c>
    </row>
    <row r="3871" spans="1:2" hidden="1" x14ac:dyDescent="0.2">
      <c r="A3871" t="s">
        <v>8220</v>
      </c>
      <c r="B3871">
        <v>15</v>
      </c>
    </row>
    <row r="3872" spans="1:2" hidden="1" x14ac:dyDescent="0.2">
      <c r="A3872" t="s">
        <v>8220</v>
      </c>
      <c r="B3872">
        <v>10</v>
      </c>
    </row>
    <row r="3873" spans="1:2" hidden="1" x14ac:dyDescent="0.2">
      <c r="A3873" t="s">
        <v>8220</v>
      </c>
      <c r="B3873">
        <v>3</v>
      </c>
    </row>
    <row r="3874" spans="1:2" hidden="1" x14ac:dyDescent="0.2">
      <c r="A3874" t="s">
        <v>8220</v>
      </c>
      <c r="B3874">
        <v>0</v>
      </c>
    </row>
    <row r="3875" spans="1:2" hidden="1" x14ac:dyDescent="0.2">
      <c r="A3875" t="s">
        <v>8220</v>
      </c>
      <c r="B3875">
        <v>0</v>
      </c>
    </row>
    <row r="3876" spans="1:2" hidden="1" x14ac:dyDescent="0.2">
      <c r="A3876" t="s">
        <v>8220</v>
      </c>
      <c r="B3876">
        <v>0</v>
      </c>
    </row>
    <row r="3877" spans="1:2" hidden="1" x14ac:dyDescent="0.2">
      <c r="A3877" t="s">
        <v>8220</v>
      </c>
      <c r="B3877">
        <v>0</v>
      </c>
    </row>
    <row r="3878" spans="1:2" hidden="1" x14ac:dyDescent="0.2">
      <c r="A3878" t="s">
        <v>8220</v>
      </c>
      <c r="B3878">
        <v>46</v>
      </c>
    </row>
    <row r="3879" spans="1:2" hidden="1" x14ac:dyDescent="0.2">
      <c r="A3879" t="s">
        <v>8220</v>
      </c>
      <c r="B3879">
        <v>14</v>
      </c>
    </row>
    <row r="3880" spans="1:2" hidden="1" x14ac:dyDescent="0.2">
      <c r="A3880" t="s">
        <v>8220</v>
      </c>
      <c r="B3880">
        <v>1</v>
      </c>
    </row>
    <row r="3881" spans="1:2" hidden="1" x14ac:dyDescent="0.2">
      <c r="A3881" t="s">
        <v>8220</v>
      </c>
      <c r="B3881">
        <v>0</v>
      </c>
    </row>
    <row r="3882" spans="1:2" hidden="1" x14ac:dyDescent="0.2">
      <c r="A3882" t="s">
        <v>8220</v>
      </c>
      <c r="B3882">
        <v>17</v>
      </c>
    </row>
    <row r="3883" spans="1:2" hidden="1" x14ac:dyDescent="0.2">
      <c r="A3883" t="s">
        <v>8220</v>
      </c>
      <c r="B3883">
        <v>1</v>
      </c>
    </row>
    <row r="3884" spans="1:2" hidden="1" x14ac:dyDescent="0.2">
      <c r="A3884" t="s">
        <v>8220</v>
      </c>
      <c r="B3884">
        <v>0</v>
      </c>
    </row>
    <row r="3885" spans="1:2" hidden="1" x14ac:dyDescent="0.2">
      <c r="A3885" t="s">
        <v>8220</v>
      </c>
      <c r="B3885">
        <v>0</v>
      </c>
    </row>
    <row r="3886" spans="1:2" hidden="1" x14ac:dyDescent="0.2">
      <c r="A3886" t="s">
        <v>8220</v>
      </c>
      <c r="B3886">
        <v>0</v>
      </c>
    </row>
    <row r="3887" spans="1:2" hidden="1" x14ac:dyDescent="0.2">
      <c r="A3887" t="s">
        <v>8220</v>
      </c>
      <c r="B3887">
        <v>0</v>
      </c>
    </row>
    <row r="3888" spans="1:2" hidden="1" x14ac:dyDescent="0.2">
      <c r="A3888" t="s">
        <v>8220</v>
      </c>
      <c r="B3888">
        <v>0</v>
      </c>
    </row>
    <row r="3889" spans="1:2" hidden="1" x14ac:dyDescent="0.2">
      <c r="A3889" t="s">
        <v>8220</v>
      </c>
      <c r="B3889">
        <v>2</v>
      </c>
    </row>
    <row r="3890" spans="1:2" x14ac:dyDescent="0.2">
      <c r="A3890" t="s">
        <v>8221</v>
      </c>
      <c r="B3890">
        <v>0</v>
      </c>
    </row>
    <row r="3891" spans="1:2" x14ac:dyDescent="0.2">
      <c r="A3891" t="s">
        <v>8221</v>
      </c>
      <c r="B3891">
        <v>0</v>
      </c>
    </row>
    <row r="3892" spans="1:2" x14ac:dyDescent="0.2">
      <c r="A3892" t="s">
        <v>8221</v>
      </c>
      <c r="B3892">
        <v>0</v>
      </c>
    </row>
    <row r="3893" spans="1:2" x14ac:dyDescent="0.2">
      <c r="A3893" t="s">
        <v>8221</v>
      </c>
      <c r="B3893">
        <v>0</v>
      </c>
    </row>
    <row r="3894" spans="1:2" x14ac:dyDescent="0.2">
      <c r="A3894" t="s">
        <v>8221</v>
      </c>
      <c r="B3894">
        <v>0</v>
      </c>
    </row>
    <row r="3895" spans="1:2" x14ac:dyDescent="0.2">
      <c r="A3895" t="s">
        <v>8221</v>
      </c>
      <c r="B3895">
        <v>0</v>
      </c>
    </row>
    <row r="3896" spans="1:2" x14ac:dyDescent="0.2">
      <c r="A3896" t="s">
        <v>8221</v>
      </c>
      <c r="B3896">
        <v>0</v>
      </c>
    </row>
    <row r="3897" spans="1:2" x14ac:dyDescent="0.2">
      <c r="A3897" t="s">
        <v>8221</v>
      </c>
      <c r="B3897">
        <v>0</v>
      </c>
    </row>
    <row r="3898" spans="1:2" x14ac:dyDescent="0.2">
      <c r="A3898" t="s">
        <v>8221</v>
      </c>
      <c r="B3898">
        <v>0</v>
      </c>
    </row>
    <row r="3899" spans="1:2" x14ac:dyDescent="0.2">
      <c r="A3899" t="s">
        <v>8221</v>
      </c>
      <c r="B3899">
        <v>0</v>
      </c>
    </row>
    <row r="3900" spans="1:2" x14ac:dyDescent="0.2">
      <c r="A3900" t="s">
        <v>8221</v>
      </c>
      <c r="B3900">
        <v>0</v>
      </c>
    </row>
    <row r="3901" spans="1:2" x14ac:dyDescent="0.2">
      <c r="A3901" t="s">
        <v>8221</v>
      </c>
      <c r="B3901">
        <v>0</v>
      </c>
    </row>
    <row r="3902" spans="1:2" x14ac:dyDescent="0.2">
      <c r="A3902" t="s">
        <v>8221</v>
      </c>
      <c r="B3902">
        <v>0</v>
      </c>
    </row>
    <row r="3903" spans="1:2" x14ac:dyDescent="0.2">
      <c r="A3903" t="s">
        <v>8221</v>
      </c>
      <c r="B3903">
        <v>0</v>
      </c>
    </row>
    <row r="3904" spans="1:2" x14ac:dyDescent="0.2">
      <c r="A3904" t="s">
        <v>8221</v>
      </c>
      <c r="B3904">
        <v>0</v>
      </c>
    </row>
    <row r="3905" spans="1:2" x14ac:dyDescent="0.2">
      <c r="A3905" t="s">
        <v>8221</v>
      </c>
      <c r="B3905">
        <v>0</v>
      </c>
    </row>
    <row r="3906" spans="1:2" x14ac:dyDescent="0.2">
      <c r="A3906" t="s">
        <v>8221</v>
      </c>
      <c r="B3906">
        <v>0</v>
      </c>
    </row>
    <row r="3907" spans="1:2" x14ac:dyDescent="0.2">
      <c r="A3907" t="s">
        <v>8221</v>
      </c>
      <c r="B3907">
        <v>0</v>
      </c>
    </row>
    <row r="3908" spans="1:2" x14ac:dyDescent="0.2">
      <c r="A3908" t="s">
        <v>8221</v>
      </c>
      <c r="B3908">
        <v>0</v>
      </c>
    </row>
    <row r="3909" spans="1:2" x14ac:dyDescent="0.2">
      <c r="A3909" t="s">
        <v>8221</v>
      </c>
      <c r="B3909">
        <v>0</v>
      </c>
    </row>
    <row r="3910" spans="1:2" x14ac:dyDescent="0.2">
      <c r="A3910" t="s">
        <v>8221</v>
      </c>
      <c r="B3910">
        <v>0</v>
      </c>
    </row>
    <row r="3911" spans="1:2" x14ac:dyDescent="0.2">
      <c r="A3911" t="s">
        <v>8221</v>
      </c>
      <c r="B3911">
        <v>0</v>
      </c>
    </row>
    <row r="3912" spans="1:2" x14ac:dyDescent="0.2">
      <c r="A3912" t="s">
        <v>8221</v>
      </c>
      <c r="B3912">
        <v>0</v>
      </c>
    </row>
    <row r="3913" spans="1:2" x14ac:dyDescent="0.2">
      <c r="A3913" t="s">
        <v>8221</v>
      </c>
      <c r="B3913">
        <v>0</v>
      </c>
    </row>
    <row r="3914" spans="1:2" x14ac:dyDescent="0.2">
      <c r="A3914" t="s">
        <v>8221</v>
      </c>
      <c r="B3914">
        <v>0</v>
      </c>
    </row>
    <row r="3915" spans="1:2" x14ac:dyDescent="0.2">
      <c r="A3915" t="s">
        <v>8221</v>
      </c>
      <c r="B3915">
        <v>0</v>
      </c>
    </row>
    <row r="3916" spans="1:2" x14ac:dyDescent="0.2">
      <c r="A3916" t="s">
        <v>8221</v>
      </c>
      <c r="B3916">
        <v>0</v>
      </c>
    </row>
    <row r="3917" spans="1:2" x14ac:dyDescent="0.2">
      <c r="A3917" t="s">
        <v>8221</v>
      </c>
      <c r="B3917">
        <v>0</v>
      </c>
    </row>
    <row r="3918" spans="1:2" x14ac:dyDescent="0.2">
      <c r="A3918" t="s">
        <v>8221</v>
      </c>
      <c r="B3918">
        <v>0</v>
      </c>
    </row>
    <row r="3919" spans="1:2" x14ac:dyDescent="0.2">
      <c r="A3919" t="s">
        <v>8221</v>
      </c>
      <c r="B3919">
        <v>0</v>
      </c>
    </row>
    <row r="3920" spans="1:2" x14ac:dyDescent="0.2">
      <c r="A3920" t="s">
        <v>8221</v>
      </c>
      <c r="B3920">
        <v>0</v>
      </c>
    </row>
    <row r="3921" spans="1:2" x14ac:dyDescent="0.2">
      <c r="A3921" t="s">
        <v>8221</v>
      </c>
      <c r="B3921">
        <v>0</v>
      </c>
    </row>
    <row r="3922" spans="1:2" x14ac:dyDescent="0.2">
      <c r="A3922" t="s">
        <v>8221</v>
      </c>
      <c r="B3922">
        <v>0</v>
      </c>
    </row>
    <row r="3923" spans="1:2" x14ac:dyDescent="0.2">
      <c r="A3923" t="s">
        <v>8221</v>
      </c>
      <c r="B3923">
        <v>0</v>
      </c>
    </row>
    <row r="3924" spans="1:2" x14ac:dyDescent="0.2">
      <c r="A3924" t="s">
        <v>8221</v>
      </c>
      <c r="B3924">
        <v>0</v>
      </c>
    </row>
    <row r="3925" spans="1:2" x14ac:dyDescent="0.2">
      <c r="A3925" t="s">
        <v>8221</v>
      </c>
      <c r="B3925">
        <v>0</v>
      </c>
    </row>
    <row r="3926" spans="1:2" x14ac:dyDescent="0.2">
      <c r="A3926" t="s">
        <v>8221</v>
      </c>
      <c r="B3926">
        <v>0</v>
      </c>
    </row>
    <row r="3927" spans="1:2" x14ac:dyDescent="0.2">
      <c r="A3927" t="s">
        <v>8221</v>
      </c>
      <c r="B3927">
        <v>0</v>
      </c>
    </row>
    <row r="3928" spans="1:2" x14ac:dyDescent="0.2">
      <c r="A3928" t="s">
        <v>8221</v>
      </c>
      <c r="B3928">
        <v>0</v>
      </c>
    </row>
    <row r="3929" spans="1:2" x14ac:dyDescent="0.2">
      <c r="A3929" t="s">
        <v>8221</v>
      </c>
      <c r="B3929">
        <v>0</v>
      </c>
    </row>
    <row r="3930" spans="1:2" x14ac:dyDescent="0.2">
      <c r="A3930" t="s">
        <v>8221</v>
      </c>
      <c r="B3930">
        <v>0</v>
      </c>
    </row>
    <row r="3931" spans="1:2" x14ac:dyDescent="0.2">
      <c r="A3931" t="s">
        <v>8221</v>
      </c>
      <c r="B3931">
        <v>0</v>
      </c>
    </row>
    <row r="3932" spans="1:2" x14ac:dyDescent="0.2">
      <c r="A3932" t="s">
        <v>8221</v>
      </c>
      <c r="B3932">
        <v>0</v>
      </c>
    </row>
    <row r="3933" spans="1:2" x14ac:dyDescent="0.2">
      <c r="A3933" t="s">
        <v>8221</v>
      </c>
      <c r="B3933">
        <v>0</v>
      </c>
    </row>
    <row r="3934" spans="1:2" x14ac:dyDescent="0.2">
      <c r="A3934" t="s">
        <v>8221</v>
      </c>
      <c r="B3934">
        <v>0</v>
      </c>
    </row>
    <row r="3935" spans="1:2" x14ac:dyDescent="0.2">
      <c r="A3935" t="s">
        <v>8221</v>
      </c>
      <c r="B3935">
        <v>0</v>
      </c>
    </row>
    <row r="3936" spans="1:2" x14ac:dyDescent="0.2">
      <c r="A3936" t="s">
        <v>8221</v>
      </c>
      <c r="B3936">
        <v>0</v>
      </c>
    </row>
    <row r="3937" spans="1:2" x14ac:dyDescent="0.2">
      <c r="A3937" t="s">
        <v>8221</v>
      </c>
      <c r="B3937">
        <v>0</v>
      </c>
    </row>
    <row r="3938" spans="1:2" x14ac:dyDescent="0.2">
      <c r="A3938" t="s">
        <v>8221</v>
      </c>
      <c r="B3938">
        <v>0</v>
      </c>
    </row>
    <row r="3939" spans="1:2" x14ac:dyDescent="0.2">
      <c r="A3939" t="s">
        <v>8221</v>
      </c>
      <c r="B3939">
        <v>0</v>
      </c>
    </row>
    <row r="3940" spans="1:2" x14ac:dyDescent="0.2">
      <c r="A3940" t="s">
        <v>8221</v>
      </c>
      <c r="B3940">
        <v>0</v>
      </c>
    </row>
    <row r="3941" spans="1:2" x14ac:dyDescent="0.2">
      <c r="A3941" t="s">
        <v>8221</v>
      </c>
      <c r="B3941">
        <v>0</v>
      </c>
    </row>
    <row r="3942" spans="1:2" x14ac:dyDescent="0.2">
      <c r="A3942" t="s">
        <v>8221</v>
      </c>
      <c r="B3942">
        <v>0</v>
      </c>
    </row>
    <row r="3943" spans="1:2" x14ac:dyDescent="0.2">
      <c r="A3943" t="s">
        <v>8221</v>
      </c>
      <c r="B3943">
        <v>0</v>
      </c>
    </row>
    <row r="3944" spans="1:2" x14ac:dyDescent="0.2">
      <c r="A3944" t="s">
        <v>8221</v>
      </c>
      <c r="B3944">
        <v>0</v>
      </c>
    </row>
    <row r="3945" spans="1:2" x14ac:dyDescent="0.2">
      <c r="A3945" t="s">
        <v>8221</v>
      </c>
      <c r="B3945">
        <v>0</v>
      </c>
    </row>
    <row r="3946" spans="1:2" x14ac:dyDescent="0.2">
      <c r="A3946" t="s">
        <v>8221</v>
      </c>
      <c r="B3946">
        <v>0</v>
      </c>
    </row>
    <row r="3947" spans="1:2" x14ac:dyDescent="0.2">
      <c r="A3947" t="s">
        <v>8221</v>
      </c>
      <c r="B3947">
        <v>0</v>
      </c>
    </row>
    <row r="3948" spans="1:2" x14ac:dyDescent="0.2">
      <c r="A3948" t="s">
        <v>8221</v>
      </c>
      <c r="B3948">
        <v>0</v>
      </c>
    </row>
    <row r="3949" spans="1:2" x14ac:dyDescent="0.2">
      <c r="A3949" t="s">
        <v>8221</v>
      </c>
      <c r="B3949">
        <v>0</v>
      </c>
    </row>
    <row r="3950" spans="1:2" x14ac:dyDescent="0.2">
      <c r="A3950" t="s">
        <v>8221</v>
      </c>
      <c r="B3950">
        <v>0</v>
      </c>
    </row>
    <row r="3951" spans="1:2" x14ac:dyDescent="0.2">
      <c r="A3951" t="s">
        <v>8221</v>
      </c>
      <c r="B3951">
        <v>0</v>
      </c>
    </row>
    <row r="3952" spans="1:2" x14ac:dyDescent="0.2">
      <c r="A3952" t="s">
        <v>8221</v>
      </c>
      <c r="B3952">
        <v>0</v>
      </c>
    </row>
    <row r="3953" spans="1:2" x14ac:dyDescent="0.2">
      <c r="A3953" t="s">
        <v>8221</v>
      </c>
      <c r="B3953">
        <v>0</v>
      </c>
    </row>
    <row r="3954" spans="1:2" x14ac:dyDescent="0.2">
      <c r="A3954" t="s">
        <v>8221</v>
      </c>
      <c r="B3954">
        <v>0</v>
      </c>
    </row>
    <row r="3955" spans="1:2" x14ac:dyDescent="0.2">
      <c r="A3955" t="s">
        <v>8221</v>
      </c>
      <c r="B3955">
        <v>0</v>
      </c>
    </row>
    <row r="3956" spans="1:2" x14ac:dyDescent="0.2">
      <c r="A3956" t="s">
        <v>8221</v>
      </c>
      <c r="B3956">
        <v>0</v>
      </c>
    </row>
    <row r="3957" spans="1:2" x14ac:dyDescent="0.2">
      <c r="A3957" t="s">
        <v>8221</v>
      </c>
      <c r="B3957">
        <v>0</v>
      </c>
    </row>
    <row r="3958" spans="1:2" x14ac:dyDescent="0.2">
      <c r="A3958" t="s">
        <v>8221</v>
      </c>
      <c r="B3958">
        <v>0</v>
      </c>
    </row>
    <row r="3959" spans="1:2" x14ac:dyDescent="0.2">
      <c r="A3959" t="s">
        <v>8221</v>
      </c>
      <c r="B3959">
        <v>0</v>
      </c>
    </row>
    <row r="3960" spans="1:2" x14ac:dyDescent="0.2">
      <c r="A3960" t="s">
        <v>8221</v>
      </c>
      <c r="B3960">
        <v>0</v>
      </c>
    </row>
    <row r="3961" spans="1:2" x14ac:dyDescent="0.2">
      <c r="A3961" t="s">
        <v>8221</v>
      </c>
      <c r="B3961">
        <v>0</v>
      </c>
    </row>
    <row r="3962" spans="1:2" x14ac:dyDescent="0.2">
      <c r="A3962" t="s">
        <v>8221</v>
      </c>
      <c r="B3962">
        <v>0</v>
      </c>
    </row>
    <row r="3963" spans="1:2" x14ac:dyDescent="0.2">
      <c r="A3963" t="s">
        <v>8221</v>
      </c>
      <c r="B3963">
        <v>0</v>
      </c>
    </row>
    <row r="3964" spans="1:2" x14ac:dyDescent="0.2">
      <c r="A3964" t="s">
        <v>8221</v>
      </c>
      <c r="B3964">
        <v>0</v>
      </c>
    </row>
    <row r="3965" spans="1:2" x14ac:dyDescent="0.2">
      <c r="A3965" t="s">
        <v>8221</v>
      </c>
      <c r="B3965">
        <v>0</v>
      </c>
    </row>
    <row r="3966" spans="1:2" x14ac:dyDescent="0.2">
      <c r="A3966" t="s">
        <v>8221</v>
      </c>
      <c r="B3966">
        <v>0</v>
      </c>
    </row>
    <row r="3967" spans="1:2" x14ac:dyDescent="0.2">
      <c r="A3967" t="s">
        <v>8221</v>
      </c>
      <c r="B3967">
        <v>0</v>
      </c>
    </row>
    <row r="3968" spans="1:2" x14ac:dyDescent="0.2">
      <c r="A3968" t="s">
        <v>8221</v>
      </c>
      <c r="B3968">
        <v>0</v>
      </c>
    </row>
    <row r="3969" spans="1:2" x14ac:dyDescent="0.2">
      <c r="A3969" t="s">
        <v>8221</v>
      </c>
      <c r="B3969">
        <v>0</v>
      </c>
    </row>
    <row r="3970" spans="1:2" x14ac:dyDescent="0.2">
      <c r="A3970" t="s">
        <v>8221</v>
      </c>
      <c r="B3970">
        <v>0</v>
      </c>
    </row>
    <row r="3971" spans="1:2" x14ac:dyDescent="0.2">
      <c r="A3971" t="s">
        <v>8221</v>
      </c>
      <c r="B3971">
        <v>0</v>
      </c>
    </row>
    <row r="3972" spans="1:2" x14ac:dyDescent="0.2">
      <c r="A3972" t="s">
        <v>8221</v>
      </c>
      <c r="B3972">
        <v>0</v>
      </c>
    </row>
    <row r="3973" spans="1:2" x14ac:dyDescent="0.2">
      <c r="A3973" t="s">
        <v>8221</v>
      </c>
      <c r="B3973">
        <v>0</v>
      </c>
    </row>
    <row r="3974" spans="1:2" x14ac:dyDescent="0.2">
      <c r="A3974" t="s">
        <v>8221</v>
      </c>
      <c r="B3974">
        <v>0</v>
      </c>
    </row>
    <row r="3975" spans="1:2" x14ac:dyDescent="0.2">
      <c r="A3975" t="s">
        <v>8221</v>
      </c>
      <c r="B3975">
        <v>0</v>
      </c>
    </row>
    <row r="3976" spans="1:2" x14ac:dyDescent="0.2">
      <c r="A3976" t="s">
        <v>8221</v>
      </c>
      <c r="B3976">
        <v>0</v>
      </c>
    </row>
    <row r="3977" spans="1:2" x14ac:dyDescent="0.2">
      <c r="A3977" t="s">
        <v>8221</v>
      </c>
      <c r="B3977">
        <v>0</v>
      </c>
    </row>
    <row r="3978" spans="1:2" x14ac:dyDescent="0.2">
      <c r="A3978" t="s">
        <v>8221</v>
      </c>
      <c r="B3978">
        <v>0</v>
      </c>
    </row>
    <row r="3979" spans="1:2" x14ac:dyDescent="0.2">
      <c r="A3979" t="s">
        <v>8221</v>
      </c>
      <c r="B3979">
        <v>0</v>
      </c>
    </row>
    <row r="3980" spans="1:2" x14ac:dyDescent="0.2">
      <c r="A3980" t="s">
        <v>8221</v>
      </c>
      <c r="B3980">
        <v>0</v>
      </c>
    </row>
    <row r="3981" spans="1:2" x14ac:dyDescent="0.2">
      <c r="A3981" t="s">
        <v>8221</v>
      </c>
      <c r="B3981">
        <v>0</v>
      </c>
    </row>
    <row r="3982" spans="1:2" x14ac:dyDescent="0.2">
      <c r="A3982" t="s">
        <v>8221</v>
      </c>
      <c r="B3982">
        <v>0</v>
      </c>
    </row>
    <row r="3983" spans="1:2" x14ac:dyDescent="0.2">
      <c r="A3983" t="s">
        <v>8221</v>
      </c>
      <c r="B3983">
        <v>0</v>
      </c>
    </row>
    <row r="3984" spans="1:2" x14ac:dyDescent="0.2">
      <c r="A3984" t="s">
        <v>8221</v>
      </c>
      <c r="B3984">
        <v>0</v>
      </c>
    </row>
    <row r="3985" spans="1:2" x14ac:dyDescent="0.2">
      <c r="A3985" t="s">
        <v>8221</v>
      </c>
      <c r="B3985">
        <v>0</v>
      </c>
    </row>
    <row r="3986" spans="1:2" x14ac:dyDescent="0.2">
      <c r="A3986" t="s">
        <v>8221</v>
      </c>
      <c r="B3986">
        <v>0</v>
      </c>
    </row>
    <row r="3987" spans="1:2" x14ac:dyDescent="0.2">
      <c r="A3987" t="s">
        <v>8221</v>
      </c>
      <c r="B3987">
        <v>0</v>
      </c>
    </row>
    <row r="3988" spans="1:2" x14ac:dyDescent="0.2">
      <c r="A3988" t="s">
        <v>8221</v>
      </c>
      <c r="B3988">
        <v>0</v>
      </c>
    </row>
    <row r="3989" spans="1:2" x14ac:dyDescent="0.2">
      <c r="A3989" t="s">
        <v>8221</v>
      </c>
      <c r="B3989">
        <v>0</v>
      </c>
    </row>
    <row r="3990" spans="1:2" x14ac:dyDescent="0.2">
      <c r="A3990" t="s">
        <v>8221</v>
      </c>
      <c r="B3990">
        <v>0</v>
      </c>
    </row>
    <row r="3991" spans="1:2" x14ac:dyDescent="0.2">
      <c r="A3991" t="s">
        <v>8221</v>
      </c>
      <c r="B3991">
        <v>0</v>
      </c>
    </row>
    <row r="3992" spans="1:2" x14ac:dyDescent="0.2">
      <c r="A3992" t="s">
        <v>8221</v>
      </c>
      <c r="B3992">
        <v>0</v>
      </c>
    </row>
    <row r="3993" spans="1:2" x14ac:dyDescent="0.2">
      <c r="A3993" t="s">
        <v>8221</v>
      </c>
      <c r="B3993">
        <v>0</v>
      </c>
    </row>
    <row r="3994" spans="1:2" x14ac:dyDescent="0.2">
      <c r="A3994" t="s">
        <v>8221</v>
      </c>
      <c r="B3994">
        <v>0</v>
      </c>
    </row>
    <row r="3995" spans="1:2" x14ac:dyDescent="0.2">
      <c r="A3995" t="s">
        <v>8221</v>
      </c>
      <c r="B3995">
        <v>0</v>
      </c>
    </row>
    <row r="3996" spans="1:2" x14ac:dyDescent="0.2">
      <c r="A3996" t="s">
        <v>8221</v>
      </c>
      <c r="B3996">
        <v>0</v>
      </c>
    </row>
    <row r="3997" spans="1:2" x14ac:dyDescent="0.2">
      <c r="A3997" t="s">
        <v>8221</v>
      </c>
      <c r="B3997">
        <v>0</v>
      </c>
    </row>
    <row r="3998" spans="1:2" x14ac:dyDescent="0.2">
      <c r="A3998" t="s">
        <v>8221</v>
      </c>
      <c r="B3998">
        <v>0</v>
      </c>
    </row>
    <row r="3999" spans="1:2" x14ac:dyDescent="0.2">
      <c r="A3999" t="s">
        <v>8221</v>
      </c>
      <c r="B3999">
        <v>0</v>
      </c>
    </row>
    <row r="4000" spans="1:2" x14ac:dyDescent="0.2">
      <c r="A4000" t="s">
        <v>8221</v>
      </c>
      <c r="B4000">
        <v>0</v>
      </c>
    </row>
    <row r="4001" spans="1:2" x14ac:dyDescent="0.2">
      <c r="A4001" t="s">
        <v>8221</v>
      </c>
      <c r="B4001">
        <v>0</v>
      </c>
    </row>
    <row r="4002" spans="1:2" x14ac:dyDescent="0.2">
      <c r="A4002" t="s">
        <v>8221</v>
      </c>
      <c r="B4002">
        <v>0</v>
      </c>
    </row>
    <row r="4003" spans="1:2" x14ac:dyDescent="0.2">
      <c r="A4003" t="s">
        <v>8221</v>
      </c>
      <c r="B4003">
        <v>0</v>
      </c>
    </row>
    <row r="4004" spans="1:2" x14ac:dyDescent="0.2">
      <c r="A4004" t="s">
        <v>8221</v>
      </c>
      <c r="B4004">
        <v>0</v>
      </c>
    </row>
    <row r="4005" spans="1:2" x14ac:dyDescent="0.2">
      <c r="A4005" t="s">
        <v>8221</v>
      </c>
      <c r="B4005">
        <v>0</v>
      </c>
    </row>
    <row r="4006" spans="1:2" x14ac:dyDescent="0.2">
      <c r="A4006" t="s">
        <v>8221</v>
      </c>
      <c r="B4006">
        <v>0</v>
      </c>
    </row>
    <row r="4007" spans="1:2" x14ac:dyDescent="0.2">
      <c r="A4007" t="s">
        <v>8221</v>
      </c>
      <c r="B4007">
        <v>0</v>
      </c>
    </row>
    <row r="4008" spans="1:2" x14ac:dyDescent="0.2">
      <c r="A4008" t="s">
        <v>8221</v>
      </c>
      <c r="B4008">
        <v>0</v>
      </c>
    </row>
    <row r="4009" spans="1:2" x14ac:dyDescent="0.2">
      <c r="A4009" t="s">
        <v>8221</v>
      </c>
      <c r="B4009">
        <v>0</v>
      </c>
    </row>
    <row r="4010" spans="1:2" x14ac:dyDescent="0.2">
      <c r="A4010" t="s">
        <v>8221</v>
      </c>
      <c r="B4010">
        <v>0</v>
      </c>
    </row>
    <row r="4011" spans="1:2" x14ac:dyDescent="0.2">
      <c r="A4011" t="s">
        <v>8221</v>
      </c>
      <c r="B4011">
        <v>0</v>
      </c>
    </row>
    <row r="4012" spans="1:2" x14ac:dyDescent="0.2">
      <c r="A4012" t="s">
        <v>8221</v>
      </c>
      <c r="B4012">
        <v>0</v>
      </c>
    </row>
    <row r="4013" spans="1:2" x14ac:dyDescent="0.2">
      <c r="A4013" t="s">
        <v>8221</v>
      </c>
      <c r="B4013">
        <v>0</v>
      </c>
    </row>
    <row r="4014" spans="1:2" x14ac:dyDescent="0.2">
      <c r="A4014" t="s">
        <v>8221</v>
      </c>
      <c r="B4014">
        <v>0</v>
      </c>
    </row>
    <row r="4015" spans="1:2" x14ac:dyDescent="0.2">
      <c r="A4015" t="s">
        <v>8221</v>
      </c>
      <c r="B4015">
        <v>0</v>
      </c>
    </row>
    <row r="4016" spans="1:2" x14ac:dyDescent="0.2">
      <c r="A4016" t="s">
        <v>8221</v>
      </c>
      <c r="B4016">
        <v>0</v>
      </c>
    </row>
    <row r="4017" spans="1:2" x14ac:dyDescent="0.2">
      <c r="A4017" t="s">
        <v>8221</v>
      </c>
      <c r="B4017">
        <v>0</v>
      </c>
    </row>
    <row r="4018" spans="1:2" x14ac:dyDescent="0.2">
      <c r="A4018" t="s">
        <v>8221</v>
      </c>
      <c r="B4018">
        <v>0</v>
      </c>
    </row>
    <row r="4019" spans="1:2" x14ac:dyDescent="0.2">
      <c r="A4019" t="s">
        <v>8221</v>
      </c>
      <c r="B4019">
        <v>0</v>
      </c>
    </row>
    <row r="4020" spans="1:2" x14ac:dyDescent="0.2">
      <c r="A4020" t="s">
        <v>8221</v>
      </c>
      <c r="B4020">
        <v>0</v>
      </c>
    </row>
    <row r="4021" spans="1:2" x14ac:dyDescent="0.2">
      <c r="A4021" t="s">
        <v>8221</v>
      </c>
      <c r="B4021">
        <v>0</v>
      </c>
    </row>
    <row r="4022" spans="1:2" x14ac:dyDescent="0.2">
      <c r="A4022" t="s">
        <v>8221</v>
      </c>
      <c r="B4022">
        <v>0</v>
      </c>
    </row>
    <row r="4023" spans="1:2" x14ac:dyDescent="0.2">
      <c r="A4023" t="s">
        <v>8221</v>
      </c>
      <c r="B4023">
        <v>0</v>
      </c>
    </row>
    <row r="4024" spans="1:2" x14ac:dyDescent="0.2">
      <c r="A4024" t="s">
        <v>8221</v>
      </c>
      <c r="B4024">
        <v>0</v>
      </c>
    </row>
    <row r="4025" spans="1:2" x14ac:dyDescent="0.2">
      <c r="A4025" t="s">
        <v>8221</v>
      </c>
      <c r="B4025">
        <v>0</v>
      </c>
    </row>
    <row r="4026" spans="1:2" x14ac:dyDescent="0.2">
      <c r="A4026" t="s">
        <v>8221</v>
      </c>
      <c r="B4026">
        <v>0</v>
      </c>
    </row>
    <row r="4027" spans="1:2" x14ac:dyDescent="0.2">
      <c r="A4027" t="s">
        <v>8221</v>
      </c>
      <c r="B4027">
        <v>0</v>
      </c>
    </row>
    <row r="4028" spans="1:2" x14ac:dyDescent="0.2">
      <c r="A4028" t="s">
        <v>8221</v>
      </c>
      <c r="B4028">
        <v>0</v>
      </c>
    </row>
    <row r="4029" spans="1:2" x14ac:dyDescent="0.2">
      <c r="A4029" t="s">
        <v>8221</v>
      </c>
      <c r="B4029">
        <v>0</v>
      </c>
    </row>
    <row r="4030" spans="1:2" x14ac:dyDescent="0.2">
      <c r="A4030" t="s">
        <v>8221</v>
      </c>
      <c r="B4030">
        <v>0</v>
      </c>
    </row>
    <row r="4031" spans="1:2" x14ac:dyDescent="0.2">
      <c r="A4031" t="s">
        <v>8221</v>
      </c>
      <c r="B4031">
        <v>0</v>
      </c>
    </row>
    <row r="4032" spans="1:2" x14ac:dyDescent="0.2">
      <c r="A4032" t="s">
        <v>8221</v>
      </c>
      <c r="B4032">
        <v>0</v>
      </c>
    </row>
    <row r="4033" spans="1:2" x14ac:dyDescent="0.2">
      <c r="A4033" t="s">
        <v>8221</v>
      </c>
      <c r="B4033">
        <v>0</v>
      </c>
    </row>
    <row r="4034" spans="1:2" x14ac:dyDescent="0.2">
      <c r="A4034" t="s">
        <v>8221</v>
      </c>
      <c r="B4034">
        <v>0</v>
      </c>
    </row>
    <row r="4035" spans="1:2" x14ac:dyDescent="0.2">
      <c r="A4035" t="s">
        <v>8221</v>
      </c>
      <c r="B4035">
        <v>0</v>
      </c>
    </row>
    <row r="4036" spans="1:2" x14ac:dyDescent="0.2">
      <c r="A4036" t="s">
        <v>8221</v>
      </c>
      <c r="B4036">
        <v>0</v>
      </c>
    </row>
    <row r="4037" spans="1:2" x14ac:dyDescent="0.2">
      <c r="A4037" t="s">
        <v>8221</v>
      </c>
      <c r="B4037">
        <v>0</v>
      </c>
    </row>
    <row r="4038" spans="1:2" x14ac:dyDescent="0.2">
      <c r="A4038" t="s">
        <v>8221</v>
      </c>
      <c r="B4038">
        <v>0</v>
      </c>
    </row>
    <row r="4039" spans="1:2" x14ac:dyDescent="0.2">
      <c r="A4039" t="s">
        <v>8221</v>
      </c>
      <c r="B4039">
        <v>0</v>
      </c>
    </row>
    <row r="4040" spans="1:2" x14ac:dyDescent="0.2">
      <c r="A4040" t="s">
        <v>8221</v>
      </c>
      <c r="B4040">
        <v>0</v>
      </c>
    </row>
    <row r="4041" spans="1:2" x14ac:dyDescent="0.2">
      <c r="A4041" t="s">
        <v>8221</v>
      </c>
      <c r="B4041">
        <v>0</v>
      </c>
    </row>
    <row r="4042" spans="1:2" x14ac:dyDescent="0.2">
      <c r="A4042" t="s">
        <v>8221</v>
      </c>
      <c r="B4042">
        <v>0</v>
      </c>
    </row>
    <row r="4043" spans="1:2" x14ac:dyDescent="0.2">
      <c r="A4043" t="s">
        <v>8221</v>
      </c>
      <c r="B4043">
        <v>0</v>
      </c>
    </row>
    <row r="4044" spans="1:2" x14ac:dyDescent="0.2">
      <c r="A4044" t="s">
        <v>8221</v>
      </c>
      <c r="B4044">
        <v>0</v>
      </c>
    </row>
    <row r="4045" spans="1:2" x14ac:dyDescent="0.2">
      <c r="A4045" t="s">
        <v>8221</v>
      </c>
      <c r="B4045">
        <v>0</v>
      </c>
    </row>
    <row r="4046" spans="1:2" x14ac:dyDescent="0.2">
      <c r="A4046" t="s">
        <v>8221</v>
      </c>
      <c r="B4046">
        <v>0</v>
      </c>
    </row>
    <row r="4047" spans="1:2" x14ac:dyDescent="0.2">
      <c r="A4047" t="s">
        <v>8221</v>
      </c>
      <c r="B4047">
        <v>0</v>
      </c>
    </row>
    <row r="4048" spans="1:2" x14ac:dyDescent="0.2">
      <c r="A4048" t="s">
        <v>8221</v>
      </c>
      <c r="B4048">
        <v>0</v>
      </c>
    </row>
    <row r="4049" spans="1:2" x14ac:dyDescent="0.2">
      <c r="A4049" t="s">
        <v>8221</v>
      </c>
      <c r="B4049">
        <v>0</v>
      </c>
    </row>
    <row r="4050" spans="1:2" x14ac:dyDescent="0.2">
      <c r="A4050" t="s">
        <v>8221</v>
      </c>
      <c r="B4050">
        <v>0</v>
      </c>
    </row>
    <row r="4051" spans="1:2" x14ac:dyDescent="0.2">
      <c r="A4051" t="s">
        <v>8221</v>
      </c>
      <c r="B4051">
        <v>0</v>
      </c>
    </row>
    <row r="4052" spans="1:2" x14ac:dyDescent="0.2">
      <c r="A4052" t="s">
        <v>8221</v>
      </c>
      <c r="B4052">
        <v>0</v>
      </c>
    </row>
    <row r="4053" spans="1:2" x14ac:dyDescent="0.2">
      <c r="A4053" t="s">
        <v>8221</v>
      </c>
      <c r="B4053">
        <v>0</v>
      </c>
    </row>
    <row r="4054" spans="1:2" x14ac:dyDescent="0.2">
      <c r="A4054" t="s">
        <v>8221</v>
      </c>
      <c r="B4054">
        <v>0</v>
      </c>
    </row>
    <row r="4055" spans="1:2" x14ac:dyDescent="0.2">
      <c r="A4055" t="s">
        <v>8221</v>
      </c>
      <c r="B4055">
        <v>0</v>
      </c>
    </row>
    <row r="4056" spans="1:2" x14ac:dyDescent="0.2">
      <c r="A4056" t="s">
        <v>8221</v>
      </c>
      <c r="B4056">
        <v>0</v>
      </c>
    </row>
    <row r="4057" spans="1:2" x14ac:dyDescent="0.2">
      <c r="A4057" t="s">
        <v>8221</v>
      </c>
      <c r="B4057">
        <v>0</v>
      </c>
    </row>
    <row r="4058" spans="1:2" x14ac:dyDescent="0.2">
      <c r="A4058" t="s">
        <v>8221</v>
      </c>
      <c r="B4058">
        <v>0</v>
      </c>
    </row>
    <row r="4059" spans="1:2" x14ac:dyDescent="0.2">
      <c r="A4059" t="s">
        <v>8221</v>
      </c>
      <c r="B4059">
        <v>0</v>
      </c>
    </row>
    <row r="4060" spans="1:2" x14ac:dyDescent="0.2">
      <c r="A4060" t="s">
        <v>8221</v>
      </c>
      <c r="B4060">
        <v>0</v>
      </c>
    </row>
    <row r="4061" spans="1:2" x14ac:dyDescent="0.2">
      <c r="A4061" t="s">
        <v>8221</v>
      </c>
      <c r="B4061">
        <v>0</v>
      </c>
    </row>
    <row r="4062" spans="1:2" x14ac:dyDescent="0.2">
      <c r="A4062" t="s">
        <v>8221</v>
      </c>
      <c r="B4062">
        <v>0</v>
      </c>
    </row>
    <row r="4063" spans="1:2" x14ac:dyDescent="0.2">
      <c r="A4063" t="s">
        <v>8221</v>
      </c>
      <c r="B4063">
        <v>0</v>
      </c>
    </row>
    <row r="4064" spans="1:2" x14ac:dyDescent="0.2">
      <c r="A4064" t="s">
        <v>8221</v>
      </c>
      <c r="B4064">
        <v>0</v>
      </c>
    </row>
    <row r="4065" spans="1:2" x14ac:dyDescent="0.2">
      <c r="A4065" t="s">
        <v>8221</v>
      </c>
      <c r="B4065">
        <v>0</v>
      </c>
    </row>
    <row r="4066" spans="1:2" x14ac:dyDescent="0.2">
      <c r="A4066" t="s">
        <v>8221</v>
      </c>
      <c r="B4066">
        <v>0</v>
      </c>
    </row>
    <row r="4067" spans="1:2" x14ac:dyDescent="0.2">
      <c r="A4067" t="s">
        <v>8221</v>
      </c>
      <c r="B4067">
        <v>0</v>
      </c>
    </row>
    <row r="4068" spans="1:2" x14ac:dyDescent="0.2">
      <c r="A4068" t="s">
        <v>8221</v>
      </c>
      <c r="B4068">
        <v>0</v>
      </c>
    </row>
    <row r="4069" spans="1:2" x14ac:dyDescent="0.2">
      <c r="A4069" t="s">
        <v>8221</v>
      </c>
      <c r="B4069">
        <v>0</v>
      </c>
    </row>
    <row r="4070" spans="1:2" x14ac:dyDescent="0.2">
      <c r="A4070" t="s">
        <v>8221</v>
      </c>
      <c r="B4070">
        <v>0</v>
      </c>
    </row>
    <row r="4071" spans="1:2" x14ac:dyDescent="0.2">
      <c r="A4071" t="s">
        <v>8221</v>
      </c>
      <c r="B4071">
        <v>0</v>
      </c>
    </row>
    <row r="4072" spans="1:2" x14ac:dyDescent="0.2">
      <c r="A4072" t="s">
        <v>8221</v>
      </c>
      <c r="B4072">
        <v>0</v>
      </c>
    </row>
    <row r="4073" spans="1:2" x14ac:dyDescent="0.2">
      <c r="A4073" t="s">
        <v>8221</v>
      </c>
      <c r="B4073">
        <v>0</v>
      </c>
    </row>
    <row r="4074" spans="1:2" x14ac:dyDescent="0.2">
      <c r="A4074" t="s">
        <v>8221</v>
      </c>
      <c r="B4074">
        <v>0</v>
      </c>
    </row>
    <row r="4075" spans="1:2" x14ac:dyDescent="0.2">
      <c r="A4075" t="s">
        <v>8221</v>
      </c>
      <c r="B4075">
        <v>0</v>
      </c>
    </row>
    <row r="4076" spans="1:2" x14ac:dyDescent="0.2">
      <c r="A4076" t="s">
        <v>8221</v>
      </c>
      <c r="B4076">
        <v>0</v>
      </c>
    </row>
    <row r="4077" spans="1:2" x14ac:dyDescent="0.2">
      <c r="A4077" t="s">
        <v>8221</v>
      </c>
      <c r="B4077">
        <v>0</v>
      </c>
    </row>
    <row r="4078" spans="1:2" x14ac:dyDescent="0.2">
      <c r="A4078" t="s">
        <v>8221</v>
      </c>
      <c r="B4078">
        <v>0</v>
      </c>
    </row>
    <row r="4079" spans="1:2" x14ac:dyDescent="0.2">
      <c r="A4079" t="s">
        <v>8221</v>
      </c>
      <c r="B4079">
        <v>0</v>
      </c>
    </row>
    <row r="4080" spans="1:2" x14ac:dyDescent="0.2">
      <c r="A4080" t="s">
        <v>8221</v>
      </c>
      <c r="B4080">
        <v>0</v>
      </c>
    </row>
    <row r="4081" spans="1:2" x14ac:dyDescent="0.2">
      <c r="A4081" t="s">
        <v>8221</v>
      </c>
      <c r="B4081">
        <v>0</v>
      </c>
    </row>
    <row r="4082" spans="1:2" x14ac:dyDescent="0.2">
      <c r="A4082" t="s">
        <v>8221</v>
      </c>
      <c r="B4082">
        <v>0</v>
      </c>
    </row>
    <row r="4083" spans="1:2" x14ac:dyDescent="0.2">
      <c r="A4083" t="s">
        <v>8221</v>
      </c>
      <c r="B4083">
        <v>0</v>
      </c>
    </row>
    <row r="4084" spans="1:2" x14ac:dyDescent="0.2">
      <c r="A4084" t="s">
        <v>8221</v>
      </c>
      <c r="B4084">
        <v>0</v>
      </c>
    </row>
    <row r="4085" spans="1:2" x14ac:dyDescent="0.2">
      <c r="A4085" t="s">
        <v>8221</v>
      </c>
      <c r="B4085">
        <v>0</v>
      </c>
    </row>
    <row r="4086" spans="1:2" x14ac:dyDescent="0.2">
      <c r="A4086" t="s">
        <v>8221</v>
      </c>
      <c r="B4086">
        <v>0</v>
      </c>
    </row>
    <row r="4087" spans="1:2" x14ac:dyDescent="0.2">
      <c r="A4087" t="s">
        <v>8221</v>
      </c>
      <c r="B4087">
        <v>0</v>
      </c>
    </row>
    <row r="4088" spans="1:2" x14ac:dyDescent="0.2">
      <c r="A4088" t="s">
        <v>8221</v>
      </c>
      <c r="B4088">
        <v>0</v>
      </c>
    </row>
    <row r="4089" spans="1:2" x14ac:dyDescent="0.2">
      <c r="A4089" t="s">
        <v>8221</v>
      </c>
      <c r="B4089">
        <v>0</v>
      </c>
    </row>
    <row r="4090" spans="1:2" x14ac:dyDescent="0.2">
      <c r="A4090" t="s">
        <v>8221</v>
      </c>
      <c r="B4090">
        <v>0</v>
      </c>
    </row>
    <row r="4091" spans="1:2" x14ac:dyDescent="0.2">
      <c r="A4091" t="s">
        <v>8221</v>
      </c>
      <c r="B4091">
        <v>0</v>
      </c>
    </row>
    <row r="4092" spans="1:2" x14ac:dyDescent="0.2">
      <c r="A4092" t="s">
        <v>8221</v>
      </c>
      <c r="B4092">
        <v>0</v>
      </c>
    </row>
    <row r="4093" spans="1:2" x14ac:dyDescent="0.2">
      <c r="A4093" t="s">
        <v>8221</v>
      </c>
      <c r="B4093">
        <v>0</v>
      </c>
    </row>
    <row r="4094" spans="1:2" x14ac:dyDescent="0.2">
      <c r="A4094" t="s">
        <v>8221</v>
      </c>
      <c r="B4094">
        <v>0</v>
      </c>
    </row>
    <row r="4095" spans="1:2" x14ac:dyDescent="0.2">
      <c r="A4095" t="s">
        <v>8221</v>
      </c>
      <c r="B4095">
        <v>0</v>
      </c>
    </row>
    <row r="4096" spans="1:2" x14ac:dyDescent="0.2">
      <c r="A4096" t="s">
        <v>8221</v>
      </c>
      <c r="B4096">
        <v>0</v>
      </c>
    </row>
    <row r="4097" spans="1:2" x14ac:dyDescent="0.2">
      <c r="A4097" t="s">
        <v>8221</v>
      </c>
      <c r="B4097">
        <v>0</v>
      </c>
    </row>
    <row r="4098" spans="1:2" x14ac:dyDescent="0.2">
      <c r="A4098" t="s">
        <v>8221</v>
      </c>
      <c r="B4098">
        <v>0</v>
      </c>
    </row>
    <row r="4099" spans="1:2" x14ac:dyDescent="0.2">
      <c r="A4099" t="s">
        <v>8221</v>
      </c>
      <c r="B4099">
        <v>0</v>
      </c>
    </row>
    <row r="4100" spans="1:2" x14ac:dyDescent="0.2">
      <c r="A4100" t="s">
        <v>8221</v>
      </c>
      <c r="B4100">
        <v>0</v>
      </c>
    </row>
    <row r="4101" spans="1:2" x14ac:dyDescent="0.2">
      <c r="A4101" t="s">
        <v>8221</v>
      </c>
      <c r="B4101">
        <v>0</v>
      </c>
    </row>
    <row r="4102" spans="1:2" x14ac:dyDescent="0.2">
      <c r="A4102" t="s">
        <v>8221</v>
      </c>
      <c r="B4102">
        <v>0</v>
      </c>
    </row>
    <row r="4103" spans="1:2" x14ac:dyDescent="0.2">
      <c r="A4103" t="s">
        <v>8221</v>
      </c>
      <c r="B4103">
        <v>0</v>
      </c>
    </row>
    <row r="4104" spans="1:2" x14ac:dyDescent="0.2">
      <c r="A4104" t="s">
        <v>8221</v>
      </c>
      <c r="B4104">
        <v>0</v>
      </c>
    </row>
    <row r="4105" spans="1:2" x14ac:dyDescent="0.2">
      <c r="A4105" t="s">
        <v>8221</v>
      </c>
      <c r="B4105">
        <v>0</v>
      </c>
    </row>
    <row r="4106" spans="1:2" x14ac:dyDescent="0.2">
      <c r="A4106" t="s">
        <v>8221</v>
      </c>
      <c r="B4106">
        <v>0</v>
      </c>
    </row>
    <row r="4107" spans="1:2" x14ac:dyDescent="0.2">
      <c r="A4107" t="s">
        <v>8221</v>
      </c>
      <c r="B4107">
        <v>0</v>
      </c>
    </row>
    <row r="4108" spans="1:2" x14ac:dyDescent="0.2">
      <c r="A4108" t="s">
        <v>8221</v>
      </c>
      <c r="B4108">
        <v>0</v>
      </c>
    </row>
    <row r="4109" spans="1:2" x14ac:dyDescent="0.2">
      <c r="A4109" t="s">
        <v>8221</v>
      </c>
      <c r="B4109">
        <v>0</v>
      </c>
    </row>
    <row r="4110" spans="1:2" x14ac:dyDescent="0.2">
      <c r="A4110" t="s">
        <v>8221</v>
      </c>
      <c r="B4110">
        <v>0</v>
      </c>
    </row>
    <row r="4111" spans="1:2" x14ac:dyDescent="0.2">
      <c r="A4111" t="s">
        <v>8221</v>
      </c>
      <c r="B4111">
        <v>0</v>
      </c>
    </row>
    <row r="4112" spans="1:2" x14ac:dyDescent="0.2">
      <c r="A4112" t="s">
        <v>8221</v>
      </c>
      <c r="B4112">
        <v>0</v>
      </c>
    </row>
    <row r="4113" spans="1:2" x14ac:dyDescent="0.2">
      <c r="A4113" t="s">
        <v>8221</v>
      </c>
      <c r="B4113">
        <v>0</v>
      </c>
    </row>
    <row r="4114" spans="1:2" x14ac:dyDescent="0.2">
      <c r="A4114" t="s">
        <v>8221</v>
      </c>
      <c r="B4114">
        <v>0</v>
      </c>
    </row>
    <row r="4115" spans="1:2" x14ac:dyDescent="0.2">
      <c r="A4115" t="s">
        <v>8221</v>
      </c>
      <c r="B4115">
        <v>0</v>
      </c>
    </row>
  </sheetData>
  <autoFilter ref="A1:B4115" xr:uid="{32BA2DA5-787C-174D-9C33-7B4D10F36E16}">
    <filterColumn colId="0">
      <filters>
        <filter val="failed"/>
      </filters>
    </filterColumn>
    <sortState xmlns:xlrd2="http://schemas.microsoft.com/office/spreadsheetml/2017/richdata2" ref="A162:B4115">
      <sortCondition descending="1" ref="B1:B4115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2020-05-09T21:25:47Z</dcterms:modified>
</cp:coreProperties>
</file>